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jar\"/>
    </mc:Choice>
  </mc:AlternateContent>
  <xr:revisionPtr revIDLastSave="0" documentId="8_{9A768485-7B36-4066-BB1C-1E12C1EFE8F6}" xr6:coauthVersionLast="47" xr6:coauthVersionMax="47" xr10:uidLastSave="{00000000-0000-0000-0000-000000000000}"/>
  <bookViews>
    <workbookView xWindow="-120" yWindow="-120" windowWidth="29040" windowHeight="16440" activeTab="3" xr2:uid="{F798A35F-58E7-4ACD-A23D-3514C012BFBD}"/>
  </bookViews>
  <sheets>
    <sheet name="R Sept" sheetId="2" r:id="rId1"/>
    <sheet name="NR Sept" sheetId="3" r:id="rId2"/>
    <sheet name="Okt" sheetId="4" r:id="rId3"/>
    <sheet name="Stock Daily BBM" sheetId="1" r:id="rId4"/>
    <sheet name="Sheet5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5" l="1"/>
  <c r="C5" i="5"/>
  <c r="H4" i="5"/>
  <c r="H8" i="5" s="1"/>
  <c r="AH40" i="4"/>
  <c r="AE39" i="4"/>
  <c r="AE43" i="4" s="1"/>
  <c r="AD39" i="4"/>
  <c r="AD43" i="4" s="1"/>
  <c r="AC39" i="4"/>
  <c r="AC43" i="4" s="1"/>
  <c r="AB39" i="4"/>
  <c r="AB43" i="4" s="1"/>
  <c r="AA39" i="4"/>
  <c r="AA43" i="4" s="1"/>
  <c r="Z39" i="4"/>
  <c r="Z43" i="4" s="1"/>
  <c r="Y39" i="4"/>
  <c r="Y43" i="4" s="1"/>
  <c r="X39" i="4"/>
  <c r="X43" i="4" s="1"/>
  <c r="W39" i="4"/>
  <c r="W43" i="4" s="1"/>
  <c r="V39" i="4"/>
  <c r="V43" i="4" s="1"/>
  <c r="U39" i="4"/>
  <c r="U43" i="4" s="1"/>
  <c r="T39" i="4"/>
  <c r="T43" i="4" s="1"/>
  <c r="O39" i="4"/>
  <c r="O43" i="4" s="1"/>
  <c r="N39" i="4"/>
  <c r="N43" i="4" s="1"/>
  <c r="L39" i="4"/>
  <c r="L43" i="4" s="1"/>
  <c r="K39" i="4"/>
  <c r="K43" i="4" s="1"/>
  <c r="J39" i="4"/>
  <c r="J43" i="4" s="1"/>
  <c r="I39" i="4"/>
  <c r="I43" i="4" s="1"/>
  <c r="G39" i="4"/>
  <c r="G43" i="4" s="1"/>
  <c r="F39" i="4"/>
  <c r="F43" i="4" s="1"/>
  <c r="E39" i="4"/>
  <c r="E43" i="4" s="1"/>
  <c r="D39" i="4"/>
  <c r="D43" i="4" s="1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M39" i="4" s="1"/>
  <c r="M43" i="4" s="1"/>
  <c r="L34" i="4"/>
  <c r="K34" i="4"/>
  <c r="J34" i="4"/>
  <c r="I34" i="4"/>
  <c r="G34" i="4"/>
  <c r="F34" i="4"/>
  <c r="E34" i="4"/>
  <c r="D34" i="4"/>
  <c r="C34" i="4"/>
  <c r="H33" i="4"/>
  <c r="H34" i="4" s="1"/>
  <c r="H39" i="4" s="1"/>
  <c r="H43" i="4" s="1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G28" i="4"/>
  <c r="AG39" i="4" s="1"/>
  <c r="AG43" i="4" s="1"/>
  <c r="AF28" i="4"/>
  <c r="AF39" i="4" s="1"/>
  <c r="AF43" i="4" s="1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S39" i="4" s="1"/>
  <c r="R28" i="4"/>
  <c r="R39" i="4" s="1"/>
  <c r="R43" i="4" s="1"/>
  <c r="Q28" i="4"/>
  <c r="Q39" i="4" s="1"/>
  <c r="Q43" i="4" s="1"/>
  <c r="P28" i="4"/>
  <c r="P39" i="4" s="1"/>
  <c r="P43" i="4" s="1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C39" i="4" s="1"/>
  <c r="C43" i="4" s="1"/>
  <c r="AH20" i="4"/>
  <c r="AG19" i="4"/>
  <c r="AG23" i="4" s="1"/>
  <c r="AA19" i="4"/>
  <c r="AA23" i="4" s="1"/>
  <c r="Z19" i="4"/>
  <c r="Z23" i="4" s="1"/>
  <c r="Y19" i="4"/>
  <c r="Y23" i="4" s="1"/>
  <c r="X19" i="4"/>
  <c r="X23" i="4" s="1"/>
  <c r="W19" i="4"/>
  <c r="W23" i="4" s="1"/>
  <c r="V19" i="4"/>
  <c r="V23" i="4" s="1"/>
  <c r="U19" i="4"/>
  <c r="U23" i="4" s="1"/>
  <c r="T19" i="4"/>
  <c r="T23" i="4" s="1"/>
  <c r="S19" i="4"/>
  <c r="S23" i="4" s="1"/>
  <c r="R19" i="4"/>
  <c r="R23" i="4" s="1"/>
  <c r="Q19" i="4"/>
  <c r="Q23" i="4" s="1"/>
  <c r="K19" i="4"/>
  <c r="K23" i="4" s="1"/>
  <c r="J19" i="4"/>
  <c r="J23" i="4" s="1"/>
  <c r="I19" i="4"/>
  <c r="I23" i="4" s="1"/>
  <c r="H19" i="4"/>
  <c r="H23" i="4" s="1"/>
  <c r="G19" i="4"/>
  <c r="G23" i="4" s="1"/>
  <c r="F19" i="4"/>
  <c r="F23" i="4" s="1"/>
  <c r="E19" i="4"/>
  <c r="E23" i="4" s="1"/>
  <c r="D19" i="4"/>
  <c r="D23" i="4" s="1"/>
  <c r="C19" i="4"/>
  <c r="C23" i="4" s="1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AG6" i="4"/>
  <c r="AF6" i="4"/>
  <c r="AF19" i="4" s="1"/>
  <c r="AF23" i="4" s="1"/>
  <c r="AE6" i="4"/>
  <c r="AE19" i="4" s="1"/>
  <c r="AE23" i="4" s="1"/>
  <c r="AD6" i="4"/>
  <c r="AD19" i="4" s="1"/>
  <c r="AD23" i="4" s="1"/>
  <c r="AC6" i="4"/>
  <c r="AC19" i="4" s="1"/>
  <c r="AC23" i="4" s="1"/>
  <c r="AB6" i="4"/>
  <c r="AB19" i="4" s="1"/>
  <c r="AA6" i="4"/>
  <c r="Z6" i="4"/>
  <c r="Y6" i="4"/>
  <c r="X6" i="4"/>
  <c r="W6" i="4"/>
  <c r="V6" i="4"/>
  <c r="U6" i="4"/>
  <c r="T6" i="4"/>
  <c r="S6" i="4"/>
  <c r="R6" i="4"/>
  <c r="Q6" i="4"/>
  <c r="P6" i="4"/>
  <c r="P19" i="4" s="1"/>
  <c r="P23" i="4" s="1"/>
  <c r="O6" i="4"/>
  <c r="O19" i="4" s="1"/>
  <c r="O23" i="4" s="1"/>
  <c r="N6" i="4"/>
  <c r="N19" i="4" s="1"/>
  <c r="N23" i="4" s="1"/>
  <c r="M6" i="4"/>
  <c r="M19" i="4" s="1"/>
  <c r="M23" i="4" s="1"/>
  <c r="L6" i="4"/>
  <c r="L19" i="4" s="1"/>
  <c r="L23" i="4" s="1"/>
  <c r="K6" i="4"/>
  <c r="J6" i="4"/>
  <c r="I6" i="4"/>
  <c r="H6" i="4"/>
  <c r="G6" i="4"/>
  <c r="F6" i="4"/>
  <c r="E6" i="4"/>
  <c r="D6" i="4"/>
  <c r="C6" i="4"/>
  <c r="T40" i="2"/>
  <c r="H39" i="2"/>
  <c r="H43" i="2" s="1"/>
  <c r="S36" i="2"/>
  <c r="R36" i="2"/>
  <c r="Q36" i="2"/>
  <c r="P36" i="2"/>
  <c r="O36" i="2"/>
  <c r="N36" i="2"/>
  <c r="M36" i="2"/>
  <c r="L36" i="2"/>
  <c r="K36" i="2"/>
  <c r="J36" i="2"/>
  <c r="I36" i="2"/>
  <c r="I39" i="2" s="1"/>
  <c r="I43" i="2" s="1"/>
  <c r="H36" i="2"/>
  <c r="G36" i="2"/>
  <c r="F36" i="2"/>
  <c r="E36" i="2"/>
  <c r="D36" i="2"/>
  <c r="C36" i="2"/>
  <c r="S34" i="2"/>
  <c r="R34" i="2"/>
  <c r="Q34" i="2"/>
  <c r="P34" i="2"/>
  <c r="O34" i="2"/>
  <c r="N34" i="2"/>
  <c r="M34" i="2"/>
  <c r="L34" i="2"/>
  <c r="K34" i="2"/>
  <c r="J34" i="2"/>
  <c r="J39" i="2" s="1"/>
  <c r="J43" i="2" s="1"/>
  <c r="I34" i="2"/>
  <c r="H34" i="2"/>
  <c r="G34" i="2"/>
  <c r="F34" i="2"/>
  <c r="E34" i="2"/>
  <c r="D34" i="2"/>
  <c r="C34" i="2"/>
  <c r="S32" i="2"/>
  <c r="R32" i="2"/>
  <c r="Q32" i="2"/>
  <c r="P32" i="2"/>
  <c r="O32" i="2"/>
  <c r="N32" i="2"/>
  <c r="M32" i="2"/>
  <c r="L32" i="2"/>
  <c r="K32" i="2"/>
  <c r="K39" i="2" s="1"/>
  <c r="K43" i="2" s="1"/>
  <c r="J32" i="2"/>
  <c r="I32" i="2"/>
  <c r="H32" i="2"/>
  <c r="G32" i="2"/>
  <c r="F32" i="2"/>
  <c r="E32" i="2"/>
  <c r="D32" i="2"/>
  <c r="C32" i="2"/>
  <c r="S30" i="2"/>
  <c r="R30" i="2"/>
  <c r="Q30" i="2"/>
  <c r="P30" i="2"/>
  <c r="O30" i="2"/>
  <c r="N30" i="2"/>
  <c r="M30" i="2"/>
  <c r="L30" i="2"/>
  <c r="L39" i="2" s="1"/>
  <c r="L43" i="2" s="1"/>
  <c r="K30" i="2"/>
  <c r="J30" i="2"/>
  <c r="I30" i="2"/>
  <c r="H30" i="2"/>
  <c r="G30" i="2"/>
  <c r="F30" i="2"/>
  <c r="E30" i="2"/>
  <c r="D30" i="2"/>
  <c r="C30" i="2"/>
  <c r="S28" i="2"/>
  <c r="S39" i="2" s="1"/>
  <c r="S43" i="2" s="1"/>
  <c r="R28" i="2"/>
  <c r="R39" i="2" s="1"/>
  <c r="R43" i="2" s="1"/>
  <c r="Q28" i="2"/>
  <c r="Q39" i="2" s="1"/>
  <c r="Q43" i="2" s="1"/>
  <c r="P28" i="2"/>
  <c r="P39" i="2" s="1"/>
  <c r="P43" i="2" s="1"/>
  <c r="O28" i="2"/>
  <c r="O39" i="2" s="1"/>
  <c r="O43" i="2" s="1"/>
  <c r="N28" i="2"/>
  <c r="N39" i="2" s="1"/>
  <c r="N43" i="2" s="1"/>
  <c r="M28" i="2"/>
  <c r="M39" i="2" s="1"/>
  <c r="M43" i="2" s="1"/>
  <c r="L28" i="2"/>
  <c r="K28" i="2"/>
  <c r="J28" i="2"/>
  <c r="I28" i="2"/>
  <c r="H28" i="2"/>
  <c r="G28" i="2"/>
  <c r="G39" i="2" s="1"/>
  <c r="G43" i="2" s="1"/>
  <c r="F28" i="2"/>
  <c r="F39" i="2" s="1"/>
  <c r="F43" i="2" s="1"/>
  <c r="E28" i="2"/>
  <c r="E39" i="2" s="1"/>
  <c r="E43" i="2" s="1"/>
  <c r="D28" i="2"/>
  <c r="D39" i="2" s="1"/>
  <c r="D43" i="2" s="1"/>
  <c r="C28" i="2"/>
  <c r="C39" i="2" s="1"/>
  <c r="S20" i="2"/>
  <c r="S23" i="2" s="1"/>
  <c r="S19" i="2"/>
  <c r="C19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D19" i="2" s="1"/>
  <c r="D23" i="2" s="1"/>
  <c r="C14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E19" i="2" s="1"/>
  <c r="E23" i="2" s="1"/>
  <c r="D12" i="2"/>
  <c r="C12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F19" i="2" s="1"/>
  <c r="F23" i="2" s="1"/>
  <c r="E10" i="2"/>
  <c r="D10" i="2"/>
  <c r="C10" i="2"/>
  <c r="S8" i="2"/>
  <c r="R8" i="2"/>
  <c r="Q8" i="2"/>
  <c r="P8" i="2"/>
  <c r="O8" i="2"/>
  <c r="N8" i="2"/>
  <c r="M8" i="2"/>
  <c r="L8" i="2"/>
  <c r="K8" i="2"/>
  <c r="J8" i="2"/>
  <c r="I8" i="2"/>
  <c r="H8" i="2"/>
  <c r="G8" i="2"/>
  <c r="G19" i="2" s="1"/>
  <c r="G23" i="2" s="1"/>
  <c r="F8" i="2"/>
  <c r="E8" i="2"/>
  <c r="D8" i="2"/>
  <c r="C8" i="2"/>
  <c r="S6" i="2"/>
  <c r="R6" i="2"/>
  <c r="R19" i="2" s="1"/>
  <c r="R23" i="2" s="1"/>
  <c r="Q6" i="2"/>
  <c r="Q19" i="2" s="1"/>
  <c r="Q23" i="2" s="1"/>
  <c r="P6" i="2"/>
  <c r="P19" i="2" s="1"/>
  <c r="P23" i="2" s="1"/>
  <c r="O6" i="2"/>
  <c r="O19" i="2" s="1"/>
  <c r="O23" i="2" s="1"/>
  <c r="N6" i="2"/>
  <c r="N19" i="2" s="1"/>
  <c r="N23" i="2" s="1"/>
  <c r="M6" i="2"/>
  <c r="M19" i="2" s="1"/>
  <c r="M23" i="2" s="1"/>
  <c r="L6" i="2"/>
  <c r="L19" i="2" s="1"/>
  <c r="L23" i="2" s="1"/>
  <c r="K6" i="2"/>
  <c r="K19" i="2" s="1"/>
  <c r="K23" i="2" s="1"/>
  <c r="J6" i="2"/>
  <c r="J19" i="2" s="1"/>
  <c r="J23" i="2" s="1"/>
  <c r="I6" i="2"/>
  <c r="I19" i="2" s="1"/>
  <c r="I23" i="2" s="1"/>
  <c r="H6" i="2"/>
  <c r="H19" i="2" s="1"/>
  <c r="H23" i="2" s="1"/>
  <c r="G6" i="2"/>
  <c r="F6" i="2"/>
  <c r="E6" i="2"/>
  <c r="D6" i="2"/>
  <c r="C6" i="2"/>
  <c r="AU5" i="2"/>
  <c r="B4" i="1"/>
  <c r="D2" i="1" s="1"/>
  <c r="AH19" i="4" l="1"/>
  <c r="AH23" i="4" s="1"/>
  <c r="AB23" i="4"/>
  <c r="AH39" i="4"/>
  <c r="AH43" i="4" s="1"/>
  <c r="S43" i="4"/>
  <c r="C43" i="2"/>
  <c r="T39" i="2"/>
  <c r="T19" i="2"/>
  <c r="T43" i="2"/>
  <c r="T20" i="2"/>
  <c r="C23" i="2"/>
  <c r="T23" i="2" l="1"/>
</calcChain>
</file>

<file path=xl/sharedStrings.xml><?xml version="1.0" encoding="utf-8"?>
<sst xmlns="http://schemas.openxmlformats.org/spreadsheetml/2006/main" count="227" uniqueCount="47">
  <si>
    <t>STOCK 12 SEPT</t>
  </si>
  <si>
    <t>ACT</t>
  </si>
  <si>
    <t>SAP</t>
  </si>
  <si>
    <t>GAP</t>
  </si>
  <si>
    <t>KAP 1</t>
  </si>
  <si>
    <t>KAP 2</t>
  </si>
  <si>
    <t>Sept</t>
  </si>
  <si>
    <t>FLOWMETER</t>
  </si>
  <si>
    <t>BEFORE PENGISIAN</t>
  </si>
  <si>
    <t>AFTER PENGISIAN</t>
  </si>
  <si>
    <t>Oktober</t>
  </si>
  <si>
    <t>PERTAMAX TURBO NON DKI A040900032</t>
  </si>
  <si>
    <t>BBM KAP 1</t>
  </si>
  <si>
    <t>Kebutuhan 1 Unit</t>
  </si>
  <si>
    <t>DATA NON REGULER</t>
  </si>
  <si>
    <t>TOTAL</t>
  </si>
  <si>
    <t>TOTAL D74A DOMESTIC</t>
  </si>
  <si>
    <t>LAST STO 12 SEPT</t>
  </si>
  <si>
    <t>GI</t>
  </si>
  <si>
    <t>Kebutuhan BBM (L)</t>
  </si>
  <si>
    <t>TOTAL D74A EXPORT</t>
  </si>
  <si>
    <t>TOTAL D52B</t>
  </si>
  <si>
    <t>TOTAL D55L DOMESTIC</t>
  </si>
  <si>
    <t>TOTAL D55L EXPORT</t>
  </si>
  <si>
    <t>DATE</t>
  </si>
  <si>
    <t>STD GI (out assy)</t>
  </si>
  <si>
    <t>ACTUAL GI</t>
  </si>
  <si>
    <t>CROSSCHECK GAP KAP 1</t>
  </si>
  <si>
    <t>TOTAL GAP</t>
  </si>
  <si>
    <t>BBM KAP2</t>
  </si>
  <si>
    <t>TOTAL D26A</t>
  </si>
  <si>
    <t>CROSSCHECK GAP KAP 2</t>
  </si>
  <si>
    <t>Row Labels</t>
  </si>
  <si>
    <t>G-101-0455</t>
  </si>
  <si>
    <t>L-101-0455</t>
  </si>
  <si>
    <t>L-221-0455</t>
  </si>
  <si>
    <t>S-205-0450</t>
  </si>
  <si>
    <t>S-505-0455</t>
  </si>
  <si>
    <t>S-507-0455</t>
  </si>
  <si>
    <t>S-521-0455</t>
  </si>
  <si>
    <t>Grand Total</t>
  </si>
  <si>
    <t>STOCK BBM KAP 2 JAM 07:15 TGL 30 Sept 26</t>
  </si>
  <si>
    <t>TOTAL GI 30 Sept 26</t>
  </si>
  <si>
    <t xml:space="preserve">Std Stock 01 Oktober 2026 </t>
  </si>
  <si>
    <t>Actual Stock BBM KAP 2 Jam 07:15 1 Okt 26</t>
  </si>
  <si>
    <t>Loss</t>
  </si>
  <si>
    <t>out assy 30 Sept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</si>
</sst>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/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/>
  </cellXfs>
  <cellStyles count="1">
    <cellStyle name="Normal" xfId="0" builtinId="0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544284</xdr:colOff>
      <xdr:row>0</xdr:row>
      <xdr:rowOff>45358</xdr:rowOff>
    </xdr:from>
    <xdr:to>
      <xdr:col>19</xdr:col>
      <xdr:colOff>308427</xdr:colOff>
      <xdr:row>2</xdr:row>
      <xdr:rowOff>99787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FCC344-974A-421B-B0BE-ABEA0130498D}"/>
            </a:ext>
          </a:extLst>
        </xdr:cNvPr>
        <xdr:cNvSpPr txBox="1"/>
      </xdr:nvSpPr>
      <xdr:spPr>
        <a:xfrm>
          <a:off x="1125309" y="45358"/>
          <a:ext cx="10679793" cy="43542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/>
            <a:t>Monitoring</a:t>
          </a:r>
          <a:r>
            <a:rPr lang="en-US" sz="2800" b="1" baseline="0"/>
            <a:t> OCS VS Out Unit Assy KAP 1 &amp; KAP 2</a:t>
          </a:r>
          <a:endParaRPr lang="en-US" sz="2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544284</xdr:colOff>
      <xdr:row>0</xdr:row>
      <xdr:rowOff>45358</xdr:rowOff>
    </xdr:from>
    <xdr:to>
      <xdr:col>33</xdr:col>
      <xdr:colOff>308427</xdr:colOff>
      <xdr:row>2</xdr:row>
      <xdr:rowOff>99787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2668AF-8C5E-4EB4-83E0-7DFF9D61B117}"/>
            </a:ext>
          </a:extLst>
        </xdr:cNvPr>
        <xdr:cNvSpPr txBox="1"/>
      </xdr:nvSpPr>
      <xdr:spPr>
        <a:xfrm>
          <a:off x="1125309" y="45358"/>
          <a:ext cx="19671393" cy="43542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/>
            <a:t>Monitoring</a:t>
          </a:r>
          <a:r>
            <a:rPr lang="en-US" sz="2800" b="1" baseline="0"/>
            <a:t> OCS VS Out Unit Assy KAP 1 &amp; KAP 2</a:t>
          </a:r>
          <a:endParaRPr lang="en-US" sz="28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63500</xdr:colOff>
      <xdr:row>7</xdr:row>
      <xdr:rowOff>72571</xdr:rowOff>
    </xdr:from>
    <xdr:to>
      <xdr:col>13</xdr:col>
      <xdr:colOff>344715</xdr:colOff>
      <xdr:row>10</xdr:row>
      <xdr:rowOff>18143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60EA71-747E-45C2-849A-59BBAB64D0CB}"/>
            </a:ext>
          </a:extLst>
        </xdr:cNvPr>
        <xdr:cNvSpPr/>
      </xdr:nvSpPr>
      <xdr:spPr>
        <a:xfrm>
          <a:off x="6007100" y="1406071"/>
          <a:ext cx="719365" cy="51707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50"/>
            <a:t>STO ANNUAL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-file-kap\PAD\PCD\5.CCR%20%232\01%20DPR\2026\10\2026%2010%2000%20-%20DPR%20ADM-KAP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TPOS"/>
      <sheetName val="Welding In"/>
      <sheetName val="Welding Out"/>
      <sheetName val="Toso Out"/>
      <sheetName val="In Trimming"/>
      <sheetName val="Assy Out"/>
      <sheetName val="Delivery"/>
      <sheetName val="Plan vs Actual"/>
      <sheetName val="Notes"/>
      <sheetName val="ChartData"/>
      <sheetName val="SVP"/>
      <sheetName val="WIP"/>
      <sheetName val="AUDIT TMA"/>
      <sheetName val="HRP"/>
      <sheetName val="Tools Support"/>
      <sheetName val="Formula Eff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12">
          <cell r="C312" t="str">
            <v>TOTAL D74A DOMESTIC</v>
          </cell>
          <cell r="D312"/>
          <cell r="E312">
            <v>340</v>
          </cell>
          <cell r="F312">
            <v>74</v>
          </cell>
          <cell r="G312">
            <v>0</v>
          </cell>
          <cell r="H312">
            <v>70</v>
          </cell>
          <cell r="I312">
            <v>0</v>
          </cell>
          <cell r="J312">
            <v>55</v>
          </cell>
          <cell r="K312">
            <v>0</v>
          </cell>
          <cell r="L312">
            <v>0</v>
          </cell>
          <cell r="M312">
            <v>0</v>
          </cell>
          <cell r="N312">
            <v>68</v>
          </cell>
          <cell r="O312">
            <v>0</v>
          </cell>
          <cell r="P312">
            <v>73</v>
          </cell>
        </row>
        <row r="313">
          <cell r="C313" t="str">
            <v>WIGO PHI &amp; CS AMERICA</v>
          </cell>
          <cell r="D313"/>
          <cell r="E313">
            <v>504</v>
          </cell>
          <cell r="F313">
            <v>108</v>
          </cell>
          <cell r="G313">
            <v>0</v>
          </cell>
          <cell r="H313">
            <v>99</v>
          </cell>
          <cell r="I313">
            <v>0</v>
          </cell>
          <cell r="J313">
            <v>84</v>
          </cell>
          <cell r="K313">
            <v>0</v>
          </cell>
          <cell r="L313">
            <v>0</v>
          </cell>
          <cell r="M313">
            <v>0</v>
          </cell>
          <cell r="N313">
            <v>106</v>
          </cell>
          <cell r="O313">
            <v>0</v>
          </cell>
          <cell r="P313">
            <v>107</v>
          </cell>
        </row>
        <row r="314">
          <cell r="C314" t="str">
            <v>WIGO VIETNAM</v>
          </cell>
          <cell r="D314"/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C315" t="str">
            <v>WIGO BRUNEI &amp; SEYCHELES</v>
          </cell>
          <cell r="D315"/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</row>
        <row r="316">
          <cell r="C316" t="str">
            <v>TOTAL D74A EXPORT</v>
          </cell>
          <cell r="D316"/>
          <cell r="E316">
            <v>504</v>
          </cell>
          <cell r="F316">
            <v>108</v>
          </cell>
          <cell r="G316">
            <v>0</v>
          </cell>
          <cell r="H316">
            <v>99</v>
          </cell>
          <cell r="I316">
            <v>0</v>
          </cell>
          <cell r="J316">
            <v>84</v>
          </cell>
          <cell r="K316">
            <v>0</v>
          </cell>
          <cell r="L316">
            <v>0</v>
          </cell>
          <cell r="M316">
            <v>0</v>
          </cell>
          <cell r="N316">
            <v>106</v>
          </cell>
          <cell r="O316">
            <v>0</v>
          </cell>
          <cell r="P316">
            <v>107</v>
          </cell>
        </row>
        <row r="317">
          <cell r="C317" t="str">
            <v>WIGO LEBANON</v>
          </cell>
          <cell r="D317"/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C318" t="str">
            <v>WIGO</v>
          </cell>
          <cell r="D318"/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</row>
        <row r="319">
          <cell r="C319" t="str">
            <v>TOTAL D74A EXPORT</v>
          </cell>
          <cell r="D319"/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C320" t="str">
            <v>XENIA</v>
          </cell>
          <cell r="D320"/>
          <cell r="E320">
            <v>40</v>
          </cell>
          <cell r="F320">
            <v>9</v>
          </cell>
          <cell r="G320">
            <v>0</v>
          </cell>
          <cell r="H320">
            <v>7</v>
          </cell>
          <cell r="I320">
            <v>0</v>
          </cell>
          <cell r="J320">
            <v>6</v>
          </cell>
          <cell r="K320">
            <v>0</v>
          </cell>
          <cell r="L320">
            <v>0</v>
          </cell>
          <cell r="M320">
            <v>0</v>
          </cell>
          <cell r="N320">
            <v>9</v>
          </cell>
          <cell r="O320">
            <v>0</v>
          </cell>
          <cell r="P320">
            <v>9</v>
          </cell>
        </row>
        <row r="321">
          <cell r="C321" t="str">
            <v>AVANZA</v>
          </cell>
          <cell r="D321"/>
          <cell r="E321">
            <v>801</v>
          </cell>
          <cell r="F321">
            <v>166</v>
          </cell>
          <cell r="G321">
            <v>0</v>
          </cell>
          <cell r="H321">
            <v>163</v>
          </cell>
          <cell r="I321">
            <v>0</v>
          </cell>
          <cell r="J321">
            <v>130</v>
          </cell>
          <cell r="K321">
            <v>0</v>
          </cell>
          <cell r="L321">
            <v>0</v>
          </cell>
          <cell r="M321">
            <v>0</v>
          </cell>
          <cell r="N321">
            <v>174</v>
          </cell>
          <cell r="O321">
            <v>0</v>
          </cell>
          <cell r="P321">
            <v>168</v>
          </cell>
        </row>
        <row r="322">
          <cell r="C322" t="str">
            <v>TOTAL D26A</v>
          </cell>
          <cell r="D322"/>
          <cell r="E322">
            <v>841</v>
          </cell>
          <cell r="F322">
            <v>175</v>
          </cell>
          <cell r="G322">
            <v>0</v>
          </cell>
          <cell r="H322">
            <v>170</v>
          </cell>
          <cell r="I322">
            <v>0</v>
          </cell>
          <cell r="J322">
            <v>136</v>
          </cell>
          <cell r="K322">
            <v>0</v>
          </cell>
          <cell r="L322">
            <v>0</v>
          </cell>
          <cell r="M322">
            <v>0</v>
          </cell>
          <cell r="N322">
            <v>183</v>
          </cell>
          <cell r="O322">
            <v>0</v>
          </cell>
          <cell r="P322">
            <v>177</v>
          </cell>
        </row>
        <row r="323">
          <cell r="C323" t="str">
            <v>ROCKY</v>
          </cell>
          <cell r="D323"/>
          <cell r="E323">
            <v>1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1</v>
          </cell>
          <cell r="O323">
            <v>0</v>
          </cell>
          <cell r="P323">
            <v>0</v>
          </cell>
        </row>
        <row r="324">
          <cell r="C324" t="str">
            <v>RAIZE</v>
          </cell>
          <cell r="D324"/>
          <cell r="E324">
            <v>3</v>
          </cell>
          <cell r="F324">
            <v>1</v>
          </cell>
          <cell r="G324">
            <v>0</v>
          </cell>
          <cell r="H324">
            <v>0</v>
          </cell>
          <cell r="I324">
            <v>0</v>
          </cell>
          <cell r="J324">
            <v>1</v>
          </cell>
          <cell r="K324">
            <v>0</v>
          </cell>
          <cell r="L324">
            <v>0</v>
          </cell>
          <cell r="M324">
            <v>0</v>
          </cell>
          <cell r="N324">
            <v>1</v>
          </cell>
          <cell r="O324">
            <v>0</v>
          </cell>
          <cell r="P324">
            <v>0</v>
          </cell>
        </row>
        <row r="325">
          <cell r="C325" t="str">
            <v>TOTAL D55L DOMESTIC</v>
          </cell>
          <cell r="D325"/>
          <cell r="E325">
            <v>4</v>
          </cell>
          <cell r="F325">
            <v>1</v>
          </cell>
          <cell r="G325">
            <v>0</v>
          </cell>
          <cell r="H325">
            <v>0</v>
          </cell>
          <cell r="I325">
            <v>0</v>
          </cell>
          <cell r="J325">
            <v>1</v>
          </cell>
          <cell r="K325">
            <v>0</v>
          </cell>
          <cell r="L325">
            <v>0</v>
          </cell>
          <cell r="M325">
            <v>0</v>
          </cell>
          <cell r="N325">
            <v>2</v>
          </cell>
          <cell r="O325">
            <v>0</v>
          </cell>
          <cell r="P325">
            <v>0</v>
          </cell>
        </row>
        <row r="326">
          <cell r="C326" t="str">
            <v>PHILIPINES</v>
          </cell>
          <cell r="D326"/>
          <cell r="E326">
            <v>82</v>
          </cell>
          <cell r="F326">
            <v>18</v>
          </cell>
          <cell r="G326">
            <v>0</v>
          </cell>
          <cell r="H326">
            <v>11</v>
          </cell>
          <cell r="I326">
            <v>0</v>
          </cell>
          <cell r="J326">
            <v>11</v>
          </cell>
          <cell r="K326">
            <v>0</v>
          </cell>
          <cell r="L326">
            <v>0</v>
          </cell>
          <cell r="M326">
            <v>0</v>
          </cell>
          <cell r="N326">
            <v>20</v>
          </cell>
          <cell r="O326">
            <v>0</v>
          </cell>
          <cell r="P326">
            <v>22</v>
          </cell>
        </row>
        <row r="327">
          <cell r="C327" t="str">
            <v>CHILE</v>
          </cell>
          <cell r="D327"/>
          <cell r="E327">
            <v>16</v>
          </cell>
          <cell r="F327">
            <v>3</v>
          </cell>
          <cell r="G327">
            <v>0</v>
          </cell>
          <cell r="H327">
            <v>9</v>
          </cell>
          <cell r="I327">
            <v>0</v>
          </cell>
          <cell r="J327">
            <v>4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</row>
        <row r="328">
          <cell r="C328" t="str">
            <v>GCC</v>
          </cell>
          <cell r="D328"/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</row>
        <row r="329">
          <cell r="C329" t="str">
            <v>SAUDI ARABIA</v>
          </cell>
          <cell r="D329"/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</row>
        <row r="330">
          <cell r="C330" t="str">
            <v>UAE</v>
          </cell>
          <cell r="D330"/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</row>
        <row r="331">
          <cell r="C331" t="str">
            <v>RHD ASIA</v>
          </cell>
          <cell r="D331"/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</row>
        <row r="332">
          <cell r="C332" t="str">
            <v>RHD GENERAL EXP</v>
          </cell>
          <cell r="D332"/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</row>
        <row r="333">
          <cell r="C333" t="str">
            <v>BRUNEI</v>
          </cell>
          <cell r="D333"/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</row>
        <row r="334">
          <cell r="C334" t="str">
            <v>ECUADOR</v>
          </cell>
          <cell r="D334"/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</row>
        <row r="335">
          <cell r="C335" t="str">
            <v>LHD ASEAN</v>
          </cell>
          <cell r="D335"/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</row>
        <row r="336">
          <cell r="C336" t="str">
            <v>LHD GENERAL EXP</v>
          </cell>
          <cell r="D336"/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</row>
        <row r="337">
          <cell r="C337" t="str">
            <v>PERU</v>
          </cell>
          <cell r="D337"/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</row>
        <row r="338">
          <cell r="C338" t="str">
            <v>MEXICO</v>
          </cell>
          <cell r="D338"/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</row>
        <row r="339">
          <cell r="C339" t="str">
            <v>VIETNAM</v>
          </cell>
          <cell r="D339"/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</row>
        <row r="340">
          <cell r="C340" t="str">
            <v>TOTAL D55L EXPORT</v>
          </cell>
          <cell r="D340"/>
          <cell r="E340">
            <v>98</v>
          </cell>
          <cell r="F340">
            <v>21</v>
          </cell>
          <cell r="G340">
            <v>0</v>
          </cell>
          <cell r="H340">
            <v>20</v>
          </cell>
          <cell r="I340">
            <v>0</v>
          </cell>
          <cell r="J340">
            <v>15</v>
          </cell>
          <cell r="K340">
            <v>0</v>
          </cell>
          <cell r="L340">
            <v>0</v>
          </cell>
          <cell r="M340">
            <v>0</v>
          </cell>
          <cell r="N340">
            <v>20</v>
          </cell>
          <cell r="O340">
            <v>0</v>
          </cell>
          <cell r="P340">
            <v>22</v>
          </cell>
        </row>
        <row r="341">
          <cell r="C341" t="str">
            <v>TERIOS</v>
          </cell>
          <cell r="D341"/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</row>
        <row r="342">
          <cell r="C342" t="str">
            <v>RUSH</v>
          </cell>
          <cell r="D342"/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</row>
        <row r="343">
          <cell r="C343" t="str">
            <v>TOTAL D14N</v>
          </cell>
          <cell r="D343"/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</row>
        <row r="344">
          <cell r="C344" t="str">
            <v>GRAND TOTAL</v>
          </cell>
          <cell r="D344"/>
          <cell r="E344">
            <v>1787</v>
          </cell>
          <cell r="F344">
            <v>379</v>
          </cell>
          <cell r="G344">
            <v>0</v>
          </cell>
          <cell r="H344">
            <v>359</v>
          </cell>
          <cell r="I344">
            <v>0</v>
          </cell>
          <cell r="J344">
            <v>291</v>
          </cell>
          <cell r="K344">
            <v>0</v>
          </cell>
          <cell r="L344">
            <v>0</v>
          </cell>
          <cell r="M344">
            <v>0</v>
          </cell>
          <cell r="N344">
            <v>379</v>
          </cell>
          <cell r="O344">
            <v>0</v>
          </cell>
          <cell r="P344">
            <v>379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97C9-DB9D-4934-BEB5-6C67BDB48231}">
  <dimension ref="B2:AU43"/>
  <sheetViews>
    <sheetView workbookViewId="0"/>
  </sheetViews>
  <sheetFormatPr defaultColWidth="8.7109375" defaultRowHeight="15" x14ac:dyDescent="0.25"/>
  <cols>
    <col min="1" max="1" width="8.7109375" style="1"/>
    <col min="2" max="2" width="27.7109375" style="1" bestFit="1" customWidth="1"/>
    <col min="3" max="19" width="8" style="1" customWidth="1"/>
    <col min="20" max="20" width="16.85546875" style="1" bestFit="1" customWidth="1"/>
    <col min="21" max="21" width="8.7109375" style="1"/>
    <col min="22" max="22" width="11.7109375" style="1" bestFit="1" customWidth="1"/>
    <col min="23" max="23" width="16" style="1" bestFit="1" customWidth="1"/>
    <col min="24" max="24" width="6" style="1" bestFit="1" customWidth="1"/>
    <col min="25" max="27" width="8.7109375" style="1"/>
    <col min="28" max="28" width="14.140625" style="1" customWidth="1"/>
    <col min="29" max="29" width="18.7109375" style="1" bestFit="1" customWidth="1"/>
    <col min="30" max="47" width="11.85546875" style="1" customWidth="1"/>
    <col min="48" max="16384" width="8.7109375" style="1"/>
  </cols>
  <sheetData>
    <row r="2" spans="2:47" x14ac:dyDescent="0.25">
      <c r="V2" s="9"/>
      <c r="W2" s="10">
        <v>5000133365</v>
      </c>
      <c r="X2" s="11"/>
      <c r="Y2" s="12" t="s">
        <v>11</v>
      </c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4" spans="2:47" x14ac:dyDescent="0.25">
      <c r="B4" s="14" t="s">
        <v>12</v>
      </c>
      <c r="C4" s="3">
        <v>14</v>
      </c>
      <c r="D4" s="3">
        <v>15</v>
      </c>
      <c r="E4" s="3">
        <v>16</v>
      </c>
      <c r="F4" s="3">
        <v>17</v>
      </c>
      <c r="G4" s="3">
        <v>18</v>
      </c>
      <c r="H4" s="3">
        <v>19</v>
      </c>
      <c r="I4" s="6">
        <v>20</v>
      </c>
      <c r="J4" s="6">
        <v>21</v>
      </c>
      <c r="K4" s="3">
        <v>22</v>
      </c>
      <c r="L4" s="3">
        <v>23</v>
      </c>
      <c r="M4" s="3">
        <v>24</v>
      </c>
      <c r="N4" s="3">
        <v>25</v>
      </c>
      <c r="O4" s="6">
        <v>26</v>
      </c>
      <c r="P4" s="6">
        <v>27</v>
      </c>
      <c r="Q4" s="3">
        <v>28</v>
      </c>
      <c r="R4" s="3">
        <v>29</v>
      </c>
      <c r="S4" s="3">
        <v>30</v>
      </c>
      <c r="T4" s="3" t="s">
        <v>13</v>
      </c>
      <c r="AC4" s="3" t="s">
        <v>14</v>
      </c>
      <c r="AD4" s="15">
        <v>46279</v>
      </c>
      <c r="AE4" s="15">
        <v>46280</v>
      </c>
      <c r="AF4" s="15">
        <v>46281</v>
      </c>
      <c r="AG4" s="15">
        <v>46282</v>
      </c>
      <c r="AH4" s="15">
        <v>46283</v>
      </c>
      <c r="AI4" s="15">
        <v>46284</v>
      </c>
      <c r="AJ4" s="15">
        <v>46285</v>
      </c>
      <c r="AK4" s="15">
        <v>46286</v>
      </c>
      <c r="AL4" s="15">
        <v>46287</v>
      </c>
      <c r="AM4" s="15">
        <v>46288</v>
      </c>
      <c r="AN4" s="15">
        <v>46289</v>
      </c>
      <c r="AO4" s="15">
        <v>46290</v>
      </c>
      <c r="AP4" s="15">
        <v>46291</v>
      </c>
      <c r="AQ4" s="15">
        <v>46292</v>
      </c>
      <c r="AR4" s="15">
        <v>46293</v>
      </c>
      <c r="AS4" s="15">
        <v>46294</v>
      </c>
      <c r="AT4" s="15">
        <v>46295</v>
      </c>
      <c r="AU4" s="15" t="s">
        <v>15</v>
      </c>
    </row>
    <row r="5" spans="2:47" x14ac:dyDescent="0.25">
      <c r="B5" s="16" t="s">
        <v>16</v>
      </c>
      <c r="C5" s="17">
        <v>43</v>
      </c>
      <c r="D5" s="14">
        <v>45</v>
      </c>
      <c r="E5" s="14">
        <v>37</v>
      </c>
      <c r="F5" s="14">
        <v>44</v>
      </c>
      <c r="G5" s="14">
        <v>42</v>
      </c>
      <c r="H5" s="14">
        <v>16</v>
      </c>
      <c r="I5" s="14">
        <v>23</v>
      </c>
      <c r="J5" s="14">
        <v>50</v>
      </c>
      <c r="K5" s="14">
        <v>46</v>
      </c>
      <c r="L5" s="14">
        <v>41</v>
      </c>
      <c r="M5" s="14">
        <v>43</v>
      </c>
      <c r="N5" s="14">
        <v>45</v>
      </c>
      <c r="O5" s="14">
        <v>20</v>
      </c>
      <c r="P5" s="14">
        <v>15</v>
      </c>
      <c r="Q5" s="14">
        <v>23</v>
      </c>
      <c r="R5" s="14">
        <v>19</v>
      </c>
      <c r="S5" s="14">
        <v>19</v>
      </c>
      <c r="T5" s="18">
        <v>3</v>
      </c>
      <c r="W5" s="1" t="s">
        <v>17</v>
      </c>
      <c r="AC5" s="3" t="s">
        <v>18</v>
      </c>
      <c r="AD5" s="3">
        <v>-35</v>
      </c>
      <c r="AE5" s="3">
        <v>-40</v>
      </c>
      <c r="AF5" s="3">
        <v>-60</v>
      </c>
      <c r="AG5" s="3">
        <v>-95</v>
      </c>
      <c r="AH5" s="3">
        <v>0</v>
      </c>
      <c r="AI5" s="3">
        <v>-30</v>
      </c>
      <c r="AJ5" s="3">
        <v>0</v>
      </c>
      <c r="AK5" s="3">
        <v>0</v>
      </c>
      <c r="AL5" s="3">
        <v>-90</v>
      </c>
      <c r="AM5" s="3">
        <v>0</v>
      </c>
      <c r="AN5" s="3">
        <v>-85</v>
      </c>
      <c r="AO5" s="3">
        <v>-164</v>
      </c>
      <c r="AP5" s="3">
        <v>-50</v>
      </c>
      <c r="AQ5" s="3"/>
      <c r="AR5" s="3">
        <v>-50</v>
      </c>
      <c r="AS5" s="3"/>
      <c r="AT5" s="3"/>
      <c r="AU5" s="3">
        <f>SUM(AD5:AT5)</f>
        <v>-699</v>
      </c>
    </row>
    <row r="6" spans="2:47" x14ac:dyDescent="0.25">
      <c r="B6" s="16" t="s">
        <v>19</v>
      </c>
      <c r="C6" s="16">
        <f>$T5*C5</f>
        <v>129</v>
      </c>
      <c r="D6" s="16">
        <f>$T5*D5</f>
        <v>135</v>
      </c>
      <c r="E6" s="16">
        <f>$T5*E5</f>
        <v>111</v>
      </c>
      <c r="F6" s="16">
        <f>$T5*F5</f>
        <v>132</v>
      </c>
      <c r="G6" s="16">
        <f>$T5*G5</f>
        <v>126</v>
      </c>
      <c r="H6" s="16">
        <f t="shared" ref="H6:S6" si="0">$T5*H5</f>
        <v>48</v>
      </c>
      <c r="I6" s="16">
        <f t="shared" si="0"/>
        <v>69</v>
      </c>
      <c r="J6" s="16">
        <f t="shared" si="0"/>
        <v>150</v>
      </c>
      <c r="K6" s="16">
        <f t="shared" si="0"/>
        <v>138</v>
      </c>
      <c r="L6" s="16">
        <f t="shared" si="0"/>
        <v>123</v>
      </c>
      <c r="M6" s="16">
        <f t="shared" si="0"/>
        <v>129</v>
      </c>
      <c r="N6" s="16">
        <f t="shared" si="0"/>
        <v>135</v>
      </c>
      <c r="O6" s="16">
        <f t="shared" si="0"/>
        <v>60</v>
      </c>
      <c r="P6" s="16">
        <f t="shared" si="0"/>
        <v>45</v>
      </c>
      <c r="Q6" s="16">
        <f t="shared" si="0"/>
        <v>69</v>
      </c>
      <c r="R6" s="16">
        <f t="shared" si="0"/>
        <v>57</v>
      </c>
      <c r="S6" s="16">
        <f t="shared" si="0"/>
        <v>57</v>
      </c>
      <c r="T6" s="18"/>
      <c r="W6" s="1" t="s">
        <v>4</v>
      </c>
      <c r="X6" s="1">
        <v>22358</v>
      </c>
    </row>
    <row r="7" spans="2:47" x14ac:dyDescent="0.25">
      <c r="B7" s="16" t="s">
        <v>20</v>
      </c>
      <c r="C7" s="17">
        <v>66</v>
      </c>
      <c r="D7" s="14">
        <v>61</v>
      </c>
      <c r="E7" s="14">
        <v>55</v>
      </c>
      <c r="F7" s="14">
        <v>66</v>
      </c>
      <c r="G7" s="14">
        <v>62</v>
      </c>
      <c r="H7" s="14">
        <v>29</v>
      </c>
      <c r="I7" s="14">
        <v>31</v>
      </c>
      <c r="J7" s="14">
        <v>75</v>
      </c>
      <c r="K7" s="14">
        <v>79</v>
      </c>
      <c r="L7" s="14">
        <v>75</v>
      </c>
      <c r="M7" s="14">
        <v>73</v>
      </c>
      <c r="N7" s="14">
        <v>82</v>
      </c>
      <c r="O7" s="14">
        <v>33</v>
      </c>
      <c r="P7" s="14">
        <v>43</v>
      </c>
      <c r="Q7" s="14">
        <v>105</v>
      </c>
      <c r="R7" s="14">
        <v>108</v>
      </c>
      <c r="S7" s="14">
        <v>88</v>
      </c>
      <c r="T7" s="18">
        <v>5</v>
      </c>
      <c r="W7" s="1" t="s">
        <v>5</v>
      </c>
      <c r="X7" s="1">
        <v>19584</v>
      </c>
    </row>
    <row r="8" spans="2:47" x14ac:dyDescent="0.25">
      <c r="B8" s="16" t="s">
        <v>19</v>
      </c>
      <c r="C8" s="16">
        <f>$T7*C7</f>
        <v>330</v>
      </c>
      <c r="D8" s="16">
        <f>$T7*D7</f>
        <v>305</v>
      </c>
      <c r="E8" s="16">
        <f t="shared" ref="E8:S8" si="1">$T7*E7</f>
        <v>275</v>
      </c>
      <c r="F8" s="16">
        <f t="shared" si="1"/>
        <v>330</v>
      </c>
      <c r="G8" s="16">
        <f t="shared" si="1"/>
        <v>310</v>
      </c>
      <c r="H8" s="16">
        <f t="shared" si="1"/>
        <v>145</v>
      </c>
      <c r="I8" s="16">
        <f t="shared" si="1"/>
        <v>155</v>
      </c>
      <c r="J8" s="16">
        <f t="shared" si="1"/>
        <v>375</v>
      </c>
      <c r="K8" s="16">
        <f t="shared" si="1"/>
        <v>395</v>
      </c>
      <c r="L8" s="16">
        <f t="shared" si="1"/>
        <v>375</v>
      </c>
      <c r="M8" s="16">
        <f t="shared" si="1"/>
        <v>365</v>
      </c>
      <c r="N8" s="16">
        <f t="shared" si="1"/>
        <v>410</v>
      </c>
      <c r="O8" s="16">
        <f t="shared" si="1"/>
        <v>165</v>
      </c>
      <c r="P8" s="16">
        <f t="shared" si="1"/>
        <v>215</v>
      </c>
      <c r="Q8" s="16">
        <f t="shared" si="1"/>
        <v>525</v>
      </c>
      <c r="R8" s="16">
        <f t="shared" si="1"/>
        <v>540</v>
      </c>
      <c r="S8" s="16">
        <f t="shared" si="1"/>
        <v>440</v>
      </c>
      <c r="T8" s="18"/>
    </row>
    <row r="9" spans="2:47" x14ac:dyDescent="0.25">
      <c r="B9" s="16" t="s">
        <v>21</v>
      </c>
      <c r="C9" s="17">
        <v>256</v>
      </c>
      <c r="D9" s="14">
        <v>254</v>
      </c>
      <c r="E9" s="14">
        <v>223</v>
      </c>
      <c r="F9" s="14">
        <v>251</v>
      </c>
      <c r="G9" s="14">
        <v>247</v>
      </c>
      <c r="H9" s="14">
        <v>108</v>
      </c>
      <c r="I9" s="14">
        <v>104</v>
      </c>
      <c r="J9" s="14">
        <v>220</v>
      </c>
      <c r="K9" s="14">
        <v>220</v>
      </c>
      <c r="L9" s="14">
        <v>188</v>
      </c>
      <c r="M9" s="14">
        <v>199</v>
      </c>
      <c r="N9" s="14">
        <v>210</v>
      </c>
      <c r="O9" s="14">
        <v>92</v>
      </c>
      <c r="P9" s="14">
        <v>99</v>
      </c>
      <c r="Q9" s="14">
        <v>221</v>
      </c>
      <c r="R9" s="14">
        <v>216</v>
      </c>
      <c r="S9" s="14">
        <v>201</v>
      </c>
      <c r="T9" s="18">
        <v>3</v>
      </c>
    </row>
    <row r="10" spans="2:47" x14ac:dyDescent="0.25">
      <c r="B10" s="16" t="s">
        <v>19</v>
      </c>
      <c r="C10" s="16">
        <f>$T9*C9</f>
        <v>768</v>
      </c>
      <c r="D10" s="16">
        <f>$T9*D9</f>
        <v>762</v>
      </c>
      <c r="E10" s="16">
        <f t="shared" ref="E10:S10" si="2">$T9*E9</f>
        <v>669</v>
      </c>
      <c r="F10" s="16">
        <f t="shared" si="2"/>
        <v>753</v>
      </c>
      <c r="G10" s="16">
        <f t="shared" si="2"/>
        <v>741</v>
      </c>
      <c r="H10" s="16">
        <f t="shared" si="2"/>
        <v>324</v>
      </c>
      <c r="I10" s="16">
        <f t="shared" si="2"/>
        <v>312</v>
      </c>
      <c r="J10" s="16">
        <f t="shared" si="2"/>
        <v>660</v>
      </c>
      <c r="K10" s="16">
        <f t="shared" si="2"/>
        <v>660</v>
      </c>
      <c r="L10" s="16">
        <f t="shared" si="2"/>
        <v>564</v>
      </c>
      <c r="M10" s="16">
        <f t="shared" si="2"/>
        <v>597</v>
      </c>
      <c r="N10" s="16">
        <f t="shared" si="2"/>
        <v>630</v>
      </c>
      <c r="O10" s="16">
        <f t="shared" si="2"/>
        <v>276</v>
      </c>
      <c r="P10" s="16">
        <f t="shared" si="2"/>
        <v>297</v>
      </c>
      <c r="Q10" s="16">
        <f t="shared" si="2"/>
        <v>663</v>
      </c>
      <c r="R10" s="16">
        <f t="shared" si="2"/>
        <v>648</v>
      </c>
      <c r="S10" s="16">
        <f t="shared" si="2"/>
        <v>603</v>
      </c>
      <c r="T10" s="18"/>
    </row>
    <row r="11" spans="2:47" x14ac:dyDescent="0.25">
      <c r="B11" s="16" t="s">
        <v>22</v>
      </c>
      <c r="C11" s="17">
        <v>33</v>
      </c>
      <c r="D11" s="14">
        <v>33</v>
      </c>
      <c r="E11" s="14">
        <v>28</v>
      </c>
      <c r="F11" s="14">
        <v>29</v>
      </c>
      <c r="G11" s="14">
        <v>31</v>
      </c>
      <c r="H11" s="14">
        <v>18</v>
      </c>
      <c r="I11" s="14">
        <v>11</v>
      </c>
      <c r="J11" s="14">
        <v>31</v>
      </c>
      <c r="K11" s="14">
        <v>33</v>
      </c>
      <c r="L11" s="14">
        <v>27</v>
      </c>
      <c r="M11" s="14">
        <v>28</v>
      </c>
      <c r="N11" s="14">
        <v>26</v>
      </c>
      <c r="O11" s="14">
        <v>14</v>
      </c>
      <c r="P11" s="14">
        <v>15</v>
      </c>
      <c r="Q11" s="14">
        <v>31</v>
      </c>
      <c r="R11" s="14">
        <v>28</v>
      </c>
      <c r="S11" s="14">
        <v>30</v>
      </c>
      <c r="T11" s="18">
        <v>3</v>
      </c>
    </row>
    <row r="12" spans="2:47" x14ac:dyDescent="0.25">
      <c r="B12" s="16" t="s">
        <v>19</v>
      </c>
      <c r="C12" s="16">
        <f>$T11*C11</f>
        <v>99</v>
      </c>
      <c r="D12" s="16">
        <f>$T11*D11</f>
        <v>99</v>
      </c>
      <c r="E12" s="16">
        <f t="shared" ref="E12:S12" si="3">$T11*E11</f>
        <v>84</v>
      </c>
      <c r="F12" s="16">
        <f t="shared" si="3"/>
        <v>87</v>
      </c>
      <c r="G12" s="16">
        <f>$T11*G11</f>
        <v>93</v>
      </c>
      <c r="H12" s="16">
        <f t="shared" si="3"/>
        <v>54</v>
      </c>
      <c r="I12" s="16">
        <f t="shared" si="3"/>
        <v>33</v>
      </c>
      <c r="J12" s="16">
        <f t="shared" si="3"/>
        <v>93</v>
      </c>
      <c r="K12" s="16">
        <f t="shared" si="3"/>
        <v>99</v>
      </c>
      <c r="L12" s="16">
        <f t="shared" si="3"/>
        <v>81</v>
      </c>
      <c r="M12" s="16">
        <f t="shared" si="3"/>
        <v>84</v>
      </c>
      <c r="N12" s="16">
        <f t="shared" si="3"/>
        <v>78</v>
      </c>
      <c r="O12" s="16">
        <f t="shared" si="3"/>
        <v>42</v>
      </c>
      <c r="P12" s="16">
        <f t="shared" si="3"/>
        <v>45</v>
      </c>
      <c r="Q12" s="16">
        <f t="shared" si="3"/>
        <v>93</v>
      </c>
      <c r="R12" s="16">
        <f t="shared" si="3"/>
        <v>84</v>
      </c>
      <c r="S12" s="16">
        <f t="shared" si="3"/>
        <v>90</v>
      </c>
      <c r="T12" s="18"/>
    </row>
    <row r="13" spans="2:47" x14ac:dyDescent="0.25">
      <c r="B13" s="16" t="s">
        <v>23</v>
      </c>
      <c r="C13" s="17">
        <v>196</v>
      </c>
      <c r="D13" s="14">
        <v>200</v>
      </c>
      <c r="E13" s="14">
        <v>173</v>
      </c>
      <c r="F13" s="14">
        <v>204</v>
      </c>
      <c r="G13" s="14">
        <v>191</v>
      </c>
      <c r="H13" s="14">
        <v>80</v>
      </c>
      <c r="I13" s="14">
        <v>98</v>
      </c>
      <c r="J13" s="14">
        <v>218</v>
      </c>
      <c r="K13" s="14">
        <v>215</v>
      </c>
      <c r="L13" s="14">
        <v>185</v>
      </c>
      <c r="M13" s="14">
        <v>199</v>
      </c>
      <c r="N13" s="14">
        <v>210</v>
      </c>
      <c r="O13" s="14">
        <v>92</v>
      </c>
      <c r="P13" s="14">
        <v>96</v>
      </c>
      <c r="Q13" s="14">
        <v>213</v>
      </c>
      <c r="R13" s="14">
        <v>221</v>
      </c>
      <c r="S13" s="14">
        <v>181</v>
      </c>
      <c r="T13" s="18">
        <v>5</v>
      </c>
    </row>
    <row r="14" spans="2:47" x14ac:dyDescent="0.25">
      <c r="B14" s="3"/>
      <c r="C14" s="16">
        <f>$T13*C13</f>
        <v>980</v>
      </c>
      <c r="D14" s="16">
        <f>$T13*D13</f>
        <v>1000</v>
      </c>
      <c r="E14" s="16">
        <f t="shared" ref="E14:S14" si="4">$T13*E13</f>
        <v>865</v>
      </c>
      <c r="F14" s="16">
        <f t="shared" si="4"/>
        <v>1020</v>
      </c>
      <c r="G14" s="16">
        <f>$T13*G13</f>
        <v>955</v>
      </c>
      <c r="H14" s="16">
        <f t="shared" si="4"/>
        <v>400</v>
      </c>
      <c r="I14" s="16">
        <f t="shared" si="4"/>
        <v>490</v>
      </c>
      <c r="J14" s="16">
        <f t="shared" si="4"/>
        <v>1090</v>
      </c>
      <c r="K14" s="16">
        <f t="shared" si="4"/>
        <v>1075</v>
      </c>
      <c r="L14" s="16">
        <f t="shared" si="4"/>
        <v>925</v>
      </c>
      <c r="M14" s="16">
        <f t="shared" si="4"/>
        <v>995</v>
      </c>
      <c r="N14" s="16">
        <f t="shared" si="4"/>
        <v>1050</v>
      </c>
      <c r="O14" s="16">
        <f t="shared" si="4"/>
        <v>460</v>
      </c>
      <c r="P14" s="16">
        <f t="shared" si="4"/>
        <v>480</v>
      </c>
      <c r="Q14" s="16">
        <f t="shared" si="4"/>
        <v>1065</v>
      </c>
      <c r="R14" s="16">
        <f t="shared" si="4"/>
        <v>1105</v>
      </c>
      <c r="S14" s="16">
        <f t="shared" si="4"/>
        <v>905</v>
      </c>
      <c r="T14" s="18"/>
    </row>
    <row r="18" spans="2:22" x14ac:dyDescent="0.25">
      <c r="B18" s="19" t="s">
        <v>24</v>
      </c>
      <c r="C18" s="3">
        <v>14</v>
      </c>
      <c r="D18" s="3">
        <v>15</v>
      </c>
      <c r="E18" s="3">
        <v>16</v>
      </c>
      <c r="F18" s="3">
        <v>17</v>
      </c>
      <c r="G18" s="3">
        <v>18</v>
      </c>
      <c r="H18" s="3">
        <v>19</v>
      </c>
      <c r="I18" s="3">
        <v>20</v>
      </c>
      <c r="J18" s="3">
        <v>21</v>
      </c>
      <c r="K18" s="3">
        <v>22</v>
      </c>
      <c r="L18" s="3">
        <v>23</v>
      </c>
      <c r="M18" s="3">
        <v>24</v>
      </c>
      <c r="N18" s="3">
        <v>25</v>
      </c>
      <c r="O18" s="3">
        <v>26</v>
      </c>
      <c r="P18" s="3">
        <v>27</v>
      </c>
      <c r="Q18" s="3">
        <v>28</v>
      </c>
      <c r="R18" s="3">
        <v>29</v>
      </c>
      <c r="S18" s="3">
        <v>30</v>
      </c>
      <c r="T18" s="3" t="s">
        <v>15</v>
      </c>
    </row>
    <row r="19" spans="2:22" x14ac:dyDescent="0.25">
      <c r="B19" s="19" t="s">
        <v>25</v>
      </c>
      <c r="C19" s="3">
        <f>C6+C8+C10+C12+C14</f>
        <v>2306</v>
      </c>
      <c r="D19" s="3">
        <f>D6+D8+D10+D12+D14</f>
        <v>2301</v>
      </c>
      <c r="E19" s="3">
        <f>E6+E8+E10+E12+E14</f>
        <v>2004</v>
      </c>
      <c r="F19" s="3">
        <f t="shared" ref="F19:S19" si="5">F6+F8+F10+F12+F14</f>
        <v>2322</v>
      </c>
      <c r="G19" s="3">
        <f t="shared" si="5"/>
        <v>2225</v>
      </c>
      <c r="H19" s="3">
        <f t="shared" si="5"/>
        <v>971</v>
      </c>
      <c r="I19" s="3">
        <f t="shared" si="5"/>
        <v>1059</v>
      </c>
      <c r="J19" s="3">
        <f t="shared" si="5"/>
        <v>2368</v>
      </c>
      <c r="K19" s="3">
        <f t="shared" si="5"/>
        <v>2367</v>
      </c>
      <c r="L19" s="3">
        <f t="shared" si="5"/>
        <v>2068</v>
      </c>
      <c r="M19" s="3">
        <f t="shared" si="5"/>
        <v>2170</v>
      </c>
      <c r="N19" s="3">
        <f t="shared" si="5"/>
        <v>2303</v>
      </c>
      <c r="O19" s="3">
        <f t="shared" si="5"/>
        <v>1003</v>
      </c>
      <c r="P19" s="3">
        <f t="shared" si="5"/>
        <v>1082</v>
      </c>
      <c r="Q19" s="3">
        <f t="shared" si="5"/>
        <v>2415</v>
      </c>
      <c r="R19" s="3">
        <f t="shared" si="5"/>
        <v>2434</v>
      </c>
      <c r="S19" s="3">
        <f t="shared" si="5"/>
        <v>2095</v>
      </c>
      <c r="T19" s="3">
        <f>SUM(C19:S19)</f>
        <v>33493</v>
      </c>
    </row>
    <row r="20" spans="2:22" x14ac:dyDescent="0.25">
      <c r="B20" s="19" t="s">
        <v>26</v>
      </c>
      <c r="C20" s="3">
        <v>2306</v>
      </c>
      <c r="D20" s="3">
        <v>2295</v>
      </c>
      <c r="E20" s="3">
        <v>2013</v>
      </c>
      <c r="F20" s="3">
        <v>2322</v>
      </c>
      <c r="G20" s="3">
        <v>2230</v>
      </c>
      <c r="H20" s="3">
        <v>971</v>
      </c>
      <c r="I20" s="3">
        <v>1059</v>
      </c>
      <c r="J20" s="3">
        <v>2368</v>
      </c>
      <c r="K20" s="3">
        <v>2309</v>
      </c>
      <c r="L20" s="3">
        <v>2076</v>
      </c>
      <c r="M20" s="3">
        <v>2177</v>
      </c>
      <c r="N20" s="3">
        <v>2320</v>
      </c>
      <c r="O20" s="3">
        <v>1011</v>
      </c>
      <c r="P20" s="3">
        <v>1085</v>
      </c>
      <c r="Q20" s="3">
        <v>2415</v>
      </c>
      <c r="R20" s="3">
        <v>2416</v>
      </c>
      <c r="S20" s="3">
        <f>1430+665</f>
        <v>2095</v>
      </c>
      <c r="T20" s="3">
        <f>SUM(C20:S20)</f>
        <v>33468</v>
      </c>
    </row>
    <row r="22" spans="2:22" x14ac:dyDescent="0.25">
      <c r="B22" s="20" t="s">
        <v>27</v>
      </c>
      <c r="C22" s="3" t="s">
        <v>3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28</v>
      </c>
    </row>
    <row r="23" spans="2:22" ht="14.45" customHeight="1" x14ac:dyDescent="0.25">
      <c r="B23" s="20"/>
      <c r="C23" s="3">
        <f t="shared" ref="C23:S23" si="6">C20-C19</f>
        <v>0</v>
      </c>
      <c r="D23" s="3">
        <f t="shared" si="6"/>
        <v>-6</v>
      </c>
      <c r="E23" s="3">
        <f t="shared" si="6"/>
        <v>9</v>
      </c>
      <c r="F23" s="3">
        <f t="shared" si="6"/>
        <v>0</v>
      </c>
      <c r="G23" s="3">
        <f t="shared" si="6"/>
        <v>5</v>
      </c>
      <c r="H23" s="3">
        <f t="shared" si="6"/>
        <v>0</v>
      </c>
      <c r="I23" s="3">
        <f t="shared" si="6"/>
        <v>0</v>
      </c>
      <c r="J23" s="3">
        <f t="shared" si="6"/>
        <v>0</v>
      </c>
      <c r="K23" s="3">
        <f t="shared" si="6"/>
        <v>-58</v>
      </c>
      <c r="L23" s="3">
        <f t="shared" si="6"/>
        <v>8</v>
      </c>
      <c r="M23" s="3">
        <f t="shared" si="6"/>
        <v>7</v>
      </c>
      <c r="N23" s="3">
        <f t="shared" si="6"/>
        <v>17</v>
      </c>
      <c r="O23" s="3">
        <f t="shared" si="6"/>
        <v>8</v>
      </c>
      <c r="P23" s="3">
        <f t="shared" si="6"/>
        <v>3</v>
      </c>
      <c r="Q23" s="3">
        <f t="shared" si="6"/>
        <v>0</v>
      </c>
      <c r="R23" s="3">
        <f t="shared" si="6"/>
        <v>-18</v>
      </c>
      <c r="S23" s="3">
        <f t="shared" si="6"/>
        <v>0</v>
      </c>
      <c r="T23" s="3">
        <f>T20-T19</f>
        <v>-25</v>
      </c>
    </row>
    <row r="26" spans="2:22" x14ac:dyDescent="0.25">
      <c r="B26" s="21" t="s">
        <v>29</v>
      </c>
      <c r="C26" s="3">
        <v>14</v>
      </c>
      <c r="D26" s="3">
        <v>15</v>
      </c>
      <c r="E26" s="3">
        <v>16</v>
      </c>
      <c r="F26" s="3">
        <v>17</v>
      </c>
      <c r="G26" s="3">
        <v>18</v>
      </c>
      <c r="H26" s="6">
        <v>19</v>
      </c>
      <c r="I26" s="6">
        <v>20</v>
      </c>
      <c r="J26" s="3">
        <v>21</v>
      </c>
      <c r="K26" s="3">
        <v>22</v>
      </c>
      <c r="L26" s="3">
        <v>23</v>
      </c>
      <c r="M26" s="3">
        <v>24</v>
      </c>
      <c r="N26" s="3">
        <v>25</v>
      </c>
      <c r="O26" s="6">
        <v>26</v>
      </c>
      <c r="P26" s="6">
        <v>27</v>
      </c>
      <c r="Q26" s="3">
        <v>28</v>
      </c>
      <c r="R26" s="3">
        <v>29</v>
      </c>
      <c r="S26" s="3">
        <v>30</v>
      </c>
      <c r="T26" s="18" t="s">
        <v>13</v>
      </c>
    </row>
    <row r="27" spans="2:22" x14ac:dyDescent="0.25">
      <c r="B27" s="16" t="s">
        <v>16</v>
      </c>
      <c r="C27" s="22">
        <v>65</v>
      </c>
      <c r="D27" s="22">
        <v>56</v>
      </c>
      <c r="E27" s="22">
        <v>46</v>
      </c>
      <c r="F27" s="21">
        <v>65</v>
      </c>
      <c r="G27" s="21">
        <v>52</v>
      </c>
      <c r="H27" s="21">
        <v>43</v>
      </c>
      <c r="I27" s="21"/>
      <c r="J27" s="21">
        <v>69</v>
      </c>
      <c r="K27" s="21">
        <v>56</v>
      </c>
      <c r="L27" s="21">
        <v>40</v>
      </c>
      <c r="M27" s="21">
        <v>52</v>
      </c>
      <c r="N27" s="21">
        <v>54</v>
      </c>
      <c r="O27" s="21">
        <v>39</v>
      </c>
      <c r="P27" s="21"/>
      <c r="Q27" s="21">
        <v>93</v>
      </c>
      <c r="R27" s="21">
        <v>56</v>
      </c>
      <c r="S27" s="21">
        <v>45</v>
      </c>
      <c r="T27" s="18">
        <v>3</v>
      </c>
    </row>
    <row r="28" spans="2:22" x14ac:dyDescent="0.25">
      <c r="B28" s="16" t="s">
        <v>19</v>
      </c>
      <c r="C28" s="16">
        <f t="shared" ref="C28:S28" si="7">$T27*C27</f>
        <v>195</v>
      </c>
      <c r="D28" s="16">
        <f t="shared" si="7"/>
        <v>168</v>
      </c>
      <c r="E28" s="16">
        <f t="shared" si="7"/>
        <v>138</v>
      </c>
      <c r="F28" s="16">
        <f t="shared" si="7"/>
        <v>195</v>
      </c>
      <c r="G28" s="16">
        <f t="shared" si="7"/>
        <v>156</v>
      </c>
      <c r="H28" s="16">
        <f t="shared" si="7"/>
        <v>129</v>
      </c>
      <c r="I28" s="16">
        <f t="shared" si="7"/>
        <v>0</v>
      </c>
      <c r="J28" s="16">
        <f t="shared" si="7"/>
        <v>207</v>
      </c>
      <c r="K28" s="16">
        <f t="shared" si="7"/>
        <v>168</v>
      </c>
      <c r="L28" s="16">
        <f t="shared" si="7"/>
        <v>120</v>
      </c>
      <c r="M28" s="16">
        <f t="shared" si="7"/>
        <v>156</v>
      </c>
      <c r="N28" s="16">
        <f t="shared" si="7"/>
        <v>162</v>
      </c>
      <c r="O28" s="16">
        <f t="shared" si="7"/>
        <v>117</v>
      </c>
      <c r="P28" s="16">
        <f t="shared" si="7"/>
        <v>0</v>
      </c>
      <c r="Q28" s="16">
        <f t="shared" si="7"/>
        <v>279</v>
      </c>
      <c r="R28" s="16">
        <f t="shared" si="7"/>
        <v>168</v>
      </c>
      <c r="S28" s="16">
        <f t="shared" si="7"/>
        <v>135</v>
      </c>
      <c r="T28" s="18"/>
    </row>
    <row r="29" spans="2:22" x14ac:dyDescent="0.25">
      <c r="B29" s="16" t="s">
        <v>20</v>
      </c>
      <c r="C29" s="22">
        <v>102</v>
      </c>
      <c r="D29" s="22">
        <v>105</v>
      </c>
      <c r="E29" s="22">
        <v>88</v>
      </c>
      <c r="F29" s="21">
        <v>97</v>
      </c>
      <c r="G29" s="21">
        <v>102</v>
      </c>
      <c r="H29" s="21">
        <v>88</v>
      </c>
      <c r="I29" s="21"/>
      <c r="J29" s="21">
        <v>90</v>
      </c>
      <c r="K29" s="21">
        <v>99</v>
      </c>
      <c r="L29" s="21">
        <v>87</v>
      </c>
      <c r="M29" s="21">
        <v>88</v>
      </c>
      <c r="N29" s="21">
        <v>101</v>
      </c>
      <c r="O29" s="21">
        <v>84</v>
      </c>
      <c r="P29" s="21"/>
      <c r="Q29" s="21">
        <v>68</v>
      </c>
      <c r="R29" s="21">
        <v>103</v>
      </c>
      <c r="S29" s="21">
        <v>87</v>
      </c>
      <c r="T29" s="18">
        <v>5</v>
      </c>
    </row>
    <row r="30" spans="2:22" x14ac:dyDescent="0.25">
      <c r="B30" s="16" t="s">
        <v>19</v>
      </c>
      <c r="C30" s="16">
        <f>$T29*C29</f>
        <v>510</v>
      </c>
      <c r="D30" s="16">
        <f>$T29*D29</f>
        <v>525</v>
      </c>
      <c r="E30" s="16">
        <f t="shared" ref="E30:S30" si="8">$T29*E29</f>
        <v>440</v>
      </c>
      <c r="F30" s="16">
        <f t="shared" si="8"/>
        <v>485</v>
      </c>
      <c r="G30" s="16">
        <f t="shared" si="8"/>
        <v>510</v>
      </c>
      <c r="H30" s="16">
        <f t="shared" si="8"/>
        <v>440</v>
      </c>
      <c r="I30" s="16">
        <f t="shared" si="8"/>
        <v>0</v>
      </c>
      <c r="J30" s="16">
        <f t="shared" si="8"/>
        <v>450</v>
      </c>
      <c r="K30" s="16">
        <f t="shared" si="8"/>
        <v>495</v>
      </c>
      <c r="L30" s="16">
        <f t="shared" si="8"/>
        <v>435</v>
      </c>
      <c r="M30" s="16">
        <f t="shared" si="8"/>
        <v>440</v>
      </c>
      <c r="N30" s="16">
        <f t="shared" si="8"/>
        <v>505</v>
      </c>
      <c r="O30" s="16">
        <f t="shared" si="8"/>
        <v>420</v>
      </c>
      <c r="P30" s="16">
        <f t="shared" si="8"/>
        <v>0</v>
      </c>
      <c r="Q30" s="16">
        <f t="shared" si="8"/>
        <v>340</v>
      </c>
      <c r="R30" s="16">
        <f t="shared" si="8"/>
        <v>515</v>
      </c>
      <c r="S30" s="16">
        <f t="shared" si="8"/>
        <v>435</v>
      </c>
      <c r="T30" s="18"/>
    </row>
    <row r="31" spans="2:22" x14ac:dyDescent="0.25">
      <c r="B31" s="16" t="s">
        <v>30</v>
      </c>
      <c r="C31" s="22">
        <v>193</v>
      </c>
      <c r="D31" s="22">
        <v>193</v>
      </c>
      <c r="E31" s="22">
        <v>145</v>
      </c>
      <c r="F31" s="21">
        <v>192</v>
      </c>
      <c r="G31" s="21">
        <v>186</v>
      </c>
      <c r="H31" s="21">
        <v>144</v>
      </c>
      <c r="I31" s="21"/>
      <c r="J31" s="21">
        <v>182</v>
      </c>
      <c r="K31" s="21">
        <v>202</v>
      </c>
      <c r="L31" s="21">
        <v>148</v>
      </c>
      <c r="M31" s="21">
        <v>166</v>
      </c>
      <c r="N31" s="21">
        <v>179</v>
      </c>
      <c r="O31" s="21">
        <v>155</v>
      </c>
      <c r="P31" s="21"/>
      <c r="Q31" s="21">
        <v>194</v>
      </c>
      <c r="R31" s="21">
        <v>195</v>
      </c>
      <c r="S31" s="21">
        <v>143</v>
      </c>
      <c r="T31" s="18">
        <v>3</v>
      </c>
      <c r="V31" s="1">
        <v>5000049785</v>
      </c>
    </row>
    <row r="32" spans="2:22" x14ac:dyDescent="0.25">
      <c r="B32" s="16" t="s">
        <v>19</v>
      </c>
      <c r="C32" s="16">
        <f>$T31*C31</f>
        <v>579</v>
      </c>
      <c r="D32" s="16">
        <f>$T31*D31</f>
        <v>579</v>
      </c>
      <c r="E32" s="16">
        <f t="shared" ref="E32:R32" si="9">$T31*E31</f>
        <v>435</v>
      </c>
      <c r="F32" s="16">
        <f t="shared" si="9"/>
        <v>576</v>
      </c>
      <c r="G32" s="16">
        <f t="shared" si="9"/>
        <v>558</v>
      </c>
      <c r="H32" s="16">
        <f t="shared" si="9"/>
        <v>432</v>
      </c>
      <c r="I32" s="16">
        <f t="shared" si="9"/>
        <v>0</v>
      </c>
      <c r="J32" s="16">
        <f t="shared" si="9"/>
        <v>546</v>
      </c>
      <c r="K32" s="16">
        <f t="shared" si="9"/>
        <v>606</v>
      </c>
      <c r="L32" s="16">
        <f t="shared" si="9"/>
        <v>444</v>
      </c>
      <c r="M32" s="16">
        <f>$T31*M31</f>
        <v>498</v>
      </c>
      <c r="N32" s="16">
        <f t="shared" si="9"/>
        <v>537</v>
      </c>
      <c r="O32" s="16">
        <f t="shared" si="9"/>
        <v>465</v>
      </c>
      <c r="P32" s="16">
        <f t="shared" si="9"/>
        <v>0</v>
      </c>
      <c r="Q32" s="16">
        <f t="shared" si="9"/>
        <v>582</v>
      </c>
      <c r="R32" s="16">
        <f t="shared" si="9"/>
        <v>585</v>
      </c>
      <c r="S32" s="16">
        <f>$T31*S31</f>
        <v>429</v>
      </c>
      <c r="T32" s="18"/>
    </row>
    <row r="33" spans="2:20" x14ac:dyDescent="0.25">
      <c r="B33" s="16" t="s">
        <v>22</v>
      </c>
      <c r="C33" s="22">
        <v>0</v>
      </c>
      <c r="D33" s="22">
        <v>1</v>
      </c>
      <c r="E33" s="22">
        <v>1</v>
      </c>
      <c r="F33" s="21">
        <v>1</v>
      </c>
      <c r="G33" s="21">
        <v>1</v>
      </c>
      <c r="H33" s="21">
        <v>2</v>
      </c>
      <c r="I33" s="21"/>
      <c r="J33" s="21">
        <v>1</v>
      </c>
      <c r="K33" s="21">
        <v>1</v>
      </c>
      <c r="L33" s="21">
        <v>0</v>
      </c>
      <c r="M33" s="21">
        <v>1</v>
      </c>
      <c r="N33" s="21">
        <v>2</v>
      </c>
      <c r="O33" s="21">
        <v>1</v>
      </c>
      <c r="P33" s="21"/>
      <c r="Q33" s="21">
        <v>0</v>
      </c>
      <c r="R33" s="21">
        <v>2</v>
      </c>
      <c r="S33" s="21">
        <v>0</v>
      </c>
      <c r="T33" s="18">
        <v>3</v>
      </c>
    </row>
    <row r="34" spans="2:20" x14ac:dyDescent="0.25">
      <c r="B34" s="16" t="s">
        <v>19</v>
      </c>
      <c r="C34" s="16">
        <f>$T33*C33</f>
        <v>0</v>
      </c>
      <c r="D34" s="16">
        <f>$T33*D33</f>
        <v>3</v>
      </c>
      <c r="E34" s="16">
        <f t="shared" ref="E34:S34" si="10">$T33*E33</f>
        <v>3</v>
      </c>
      <c r="F34" s="16">
        <f t="shared" si="10"/>
        <v>3</v>
      </c>
      <c r="G34" s="16">
        <f t="shared" si="10"/>
        <v>3</v>
      </c>
      <c r="H34" s="16">
        <f t="shared" si="10"/>
        <v>6</v>
      </c>
      <c r="I34" s="16">
        <f t="shared" si="10"/>
        <v>0</v>
      </c>
      <c r="J34" s="16">
        <f t="shared" si="10"/>
        <v>3</v>
      </c>
      <c r="K34" s="16">
        <f t="shared" si="10"/>
        <v>3</v>
      </c>
      <c r="L34" s="16">
        <f t="shared" si="10"/>
        <v>0</v>
      </c>
      <c r="M34" s="16">
        <f t="shared" si="10"/>
        <v>3</v>
      </c>
      <c r="N34" s="16">
        <f t="shared" si="10"/>
        <v>6</v>
      </c>
      <c r="O34" s="16">
        <f t="shared" si="10"/>
        <v>3</v>
      </c>
      <c r="P34" s="16">
        <f t="shared" si="10"/>
        <v>0</v>
      </c>
      <c r="Q34" s="16">
        <f t="shared" si="10"/>
        <v>0</v>
      </c>
      <c r="R34" s="16">
        <f t="shared" si="10"/>
        <v>6</v>
      </c>
      <c r="S34" s="16">
        <f t="shared" si="10"/>
        <v>0</v>
      </c>
      <c r="T34" s="18"/>
    </row>
    <row r="35" spans="2:20" x14ac:dyDescent="0.25">
      <c r="B35" s="16" t="s">
        <v>23</v>
      </c>
      <c r="C35" s="22">
        <v>19</v>
      </c>
      <c r="D35" s="22">
        <v>24</v>
      </c>
      <c r="E35" s="22">
        <v>12</v>
      </c>
      <c r="F35" s="21">
        <v>24</v>
      </c>
      <c r="G35" s="21">
        <v>19</v>
      </c>
      <c r="H35" s="21">
        <v>15</v>
      </c>
      <c r="I35" s="21"/>
      <c r="J35" s="21">
        <v>20</v>
      </c>
      <c r="K35" s="21">
        <v>21</v>
      </c>
      <c r="L35" s="21">
        <v>17</v>
      </c>
      <c r="M35" s="21">
        <v>14</v>
      </c>
      <c r="N35" s="21">
        <v>24</v>
      </c>
      <c r="O35" s="21">
        <v>13</v>
      </c>
      <c r="P35" s="21"/>
      <c r="Q35" s="21">
        <v>22</v>
      </c>
      <c r="R35" s="21">
        <v>23</v>
      </c>
      <c r="S35" s="21">
        <v>17</v>
      </c>
      <c r="T35" s="18">
        <v>5</v>
      </c>
    </row>
    <row r="36" spans="2:20" x14ac:dyDescent="0.25">
      <c r="B36" s="18"/>
      <c r="C36" s="16">
        <f>$T35*C35</f>
        <v>95</v>
      </c>
      <c r="D36" s="16">
        <f>$T35*D35</f>
        <v>120</v>
      </c>
      <c r="E36" s="18">
        <f t="shared" ref="E36:S36" si="11">$T35*E35</f>
        <v>60</v>
      </c>
      <c r="F36" s="18">
        <f t="shared" si="11"/>
        <v>120</v>
      </c>
      <c r="G36" s="18">
        <f t="shared" si="11"/>
        <v>95</v>
      </c>
      <c r="H36" s="18">
        <f t="shared" si="11"/>
        <v>75</v>
      </c>
      <c r="I36" s="18">
        <f t="shared" si="11"/>
        <v>0</v>
      </c>
      <c r="J36" s="18">
        <f t="shared" si="11"/>
        <v>100</v>
      </c>
      <c r="K36" s="18">
        <f t="shared" si="11"/>
        <v>105</v>
      </c>
      <c r="L36" s="18">
        <f t="shared" si="11"/>
        <v>85</v>
      </c>
      <c r="M36" s="18">
        <f t="shared" si="11"/>
        <v>70</v>
      </c>
      <c r="N36" s="18">
        <f t="shared" si="11"/>
        <v>120</v>
      </c>
      <c r="O36" s="18">
        <f t="shared" si="11"/>
        <v>65</v>
      </c>
      <c r="P36" s="18">
        <f t="shared" si="11"/>
        <v>0</v>
      </c>
      <c r="Q36" s="18">
        <f t="shared" si="11"/>
        <v>110</v>
      </c>
      <c r="R36" s="18">
        <f t="shared" si="11"/>
        <v>115</v>
      </c>
      <c r="S36" s="18">
        <f t="shared" si="11"/>
        <v>85</v>
      </c>
      <c r="T36" s="18"/>
    </row>
    <row r="38" spans="2:20" x14ac:dyDescent="0.25">
      <c r="B38" s="3" t="s">
        <v>24</v>
      </c>
      <c r="C38" s="3">
        <v>14</v>
      </c>
      <c r="D38" s="3">
        <v>15</v>
      </c>
      <c r="E38" s="3">
        <v>16</v>
      </c>
      <c r="F38" s="3">
        <v>17</v>
      </c>
      <c r="G38" s="3">
        <v>18</v>
      </c>
      <c r="H38" s="3">
        <v>19</v>
      </c>
      <c r="I38" s="3">
        <v>20</v>
      </c>
      <c r="J38" s="3">
        <v>21</v>
      </c>
      <c r="K38" s="3">
        <v>22</v>
      </c>
      <c r="L38" s="3">
        <v>23</v>
      </c>
      <c r="M38" s="3">
        <v>24</v>
      </c>
      <c r="N38" s="3">
        <v>25</v>
      </c>
      <c r="O38" s="3">
        <v>26</v>
      </c>
      <c r="P38" s="3">
        <v>27</v>
      </c>
      <c r="Q38" s="3">
        <v>28</v>
      </c>
      <c r="R38" s="3">
        <v>29</v>
      </c>
      <c r="S38" s="3">
        <v>30</v>
      </c>
      <c r="T38" s="3" t="s">
        <v>15</v>
      </c>
    </row>
    <row r="39" spans="2:20" x14ac:dyDescent="0.25">
      <c r="B39" s="19" t="s">
        <v>25</v>
      </c>
      <c r="C39" s="3">
        <f>C28+C30+C32+C34+C36</f>
        <v>1379</v>
      </c>
      <c r="D39" s="3">
        <f>D28+D30+D32+D34+D36</f>
        <v>1395</v>
      </c>
      <c r="E39" s="3">
        <f t="shared" ref="E39:I39" si="12">E28+E30+E32+E34+E36</f>
        <v>1076</v>
      </c>
      <c r="F39" s="3">
        <f t="shared" si="12"/>
        <v>1379</v>
      </c>
      <c r="G39" s="3">
        <f t="shared" si="12"/>
        <v>1322</v>
      </c>
      <c r="H39" s="3">
        <f>H28+H30+H32+H34+H36</f>
        <v>1082</v>
      </c>
      <c r="I39" s="3">
        <f t="shared" si="12"/>
        <v>0</v>
      </c>
      <c r="J39" s="3">
        <f>J28+J30+J32+J34+J36</f>
        <v>1306</v>
      </c>
      <c r="K39" s="3">
        <f>K28+K30+K32+K34+K36</f>
        <v>1377</v>
      </c>
      <c r="L39" s="3">
        <f>L28+L30+L32+L34+L36</f>
        <v>1084</v>
      </c>
      <c r="M39" s="3">
        <f t="shared" ref="M39:R39" si="13">M28+M30+M32+M34+M36</f>
        <v>1167</v>
      </c>
      <c r="N39" s="3">
        <f t="shared" si="13"/>
        <v>1330</v>
      </c>
      <c r="O39" s="3">
        <f>O28+O30+O32+O34+O36</f>
        <v>1070</v>
      </c>
      <c r="P39" s="3">
        <f t="shared" si="13"/>
        <v>0</v>
      </c>
      <c r="Q39" s="3">
        <f t="shared" si="13"/>
        <v>1311</v>
      </c>
      <c r="R39" s="3">
        <f t="shared" si="13"/>
        <v>1389</v>
      </c>
      <c r="S39" s="3">
        <f>S28+S30+S32+S34+S36</f>
        <v>1084</v>
      </c>
      <c r="T39" s="3">
        <f>SUM(C39:S39)</f>
        <v>18751</v>
      </c>
    </row>
    <row r="40" spans="2:20" x14ac:dyDescent="0.25">
      <c r="B40" s="19" t="s">
        <v>26</v>
      </c>
      <c r="C40" s="3">
        <v>1363</v>
      </c>
      <c r="D40" s="3">
        <v>1376</v>
      </c>
      <c r="E40" s="3">
        <v>1058</v>
      </c>
      <c r="F40" s="3">
        <v>1365</v>
      </c>
      <c r="G40" s="3">
        <v>1308</v>
      </c>
      <c r="H40" s="3">
        <v>1063</v>
      </c>
      <c r="I40" s="3"/>
      <c r="J40" s="3">
        <v>1289</v>
      </c>
      <c r="K40" s="3">
        <v>1360</v>
      </c>
      <c r="L40" s="3">
        <v>1067</v>
      </c>
      <c r="M40" s="3">
        <v>1154</v>
      </c>
      <c r="N40" s="3">
        <v>1311</v>
      </c>
      <c r="O40" s="3">
        <v>1058</v>
      </c>
      <c r="P40" s="3"/>
      <c r="Q40" s="3">
        <v>1293</v>
      </c>
      <c r="R40" s="3">
        <v>1374</v>
      </c>
      <c r="S40" s="3">
        <v>1073</v>
      </c>
      <c r="T40" s="3">
        <f>SUM(C40:S40)</f>
        <v>18512</v>
      </c>
    </row>
    <row r="42" spans="2:20" x14ac:dyDescent="0.25">
      <c r="B42" s="20" t="s">
        <v>31</v>
      </c>
      <c r="C42" s="3" t="s">
        <v>3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28</v>
      </c>
    </row>
    <row r="43" spans="2:20" x14ac:dyDescent="0.25">
      <c r="B43" s="20"/>
      <c r="C43" s="3">
        <f t="shared" ref="C43:S43" si="14">C40-C39</f>
        <v>-16</v>
      </c>
      <c r="D43" s="3">
        <f t="shared" si="14"/>
        <v>-19</v>
      </c>
      <c r="E43" s="3">
        <f t="shared" si="14"/>
        <v>-18</v>
      </c>
      <c r="F43" s="3">
        <f t="shared" si="14"/>
        <v>-14</v>
      </c>
      <c r="G43" s="3">
        <f t="shared" si="14"/>
        <v>-14</v>
      </c>
      <c r="H43" s="3">
        <f t="shared" si="14"/>
        <v>-19</v>
      </c>
      <c r="I43" s="3">
        <f t="shared" si="14"/>
        <v>0</v>
      </c>
      <c r="J43" s="3">
        <f t="shared" si="14"/>
        <v>-17</v>
      </c>
      <c r="K43" s="3">
        <f t="shared" si="14"/>
        <v>-17</v>
      </c>
      <c r="L43" s="3">
        <f t="shared" si="14"/>
        <v>-17</v>
      </c>
      <c r="M43" s="3">
        <f t="shared" si="14"/>
        <v>-13</v>
      </c>
      <c r="N43" s="3">
        <f t="shared" si="14"/>
        <v>-19</v>
      </c>
      <c r="O43" s="3">
        <f t="shared" si="14"/>
        <v>-12</v>
      </c>
      <c r="P43" s="3">
        <f t="shared" si="14"/>
        <v>0</v>
      </c>
      <c r="Q43" s="3">
        <f t="shared" si="14"/>
        <v>-18</v>
      </c>
      <c r="R43" s="3">
        <f t="shared" si="14"/>
        <v>-15</v>
      </c>
      <c r="S43" s="3">
        <f t="shared" si="14"/>
        <v>-11</v>
      </c>
      <c r="T43" s="3">
        <f>T40-T39</f>
        <v>-239</v>
      </c>
    </row>
  </sheetData>
  <mergeCells count="3">
    <mergeCell ref="W2:X2"/>
    <mergeCell ref="B22:B23"/>
    <mergeCell ref="B42:B43"/>
  </mergeCells>
  <conditionalFormatting sqref="C5">
    <cfRule type="duplicateValues" dxfId="60" priority="12"/>
    <cfRule type="duplicateValues" dxfId="59" priority="13"/>
  </conditionalFormatting>
  <conditionalFormatting sqref="C5:C7 C13 C11 C9 D6 D8 D10">
    <cfRule type="duplicateValues" dxfId="58" priority="30"/>
    <cfRule type="duplicateValues" dxfId="57" priority="31"/>
  </conditionalFormatting>
  <conditionalFormatting sqref="C7">
    <cfRule type="duplicateValues" dxfId="56" priority="10"/>
    <cfRule type="duplicateValues" dxfId="55" priority="11"/>
  </conditionalFormatting>
  <conditionalFormatting sqref="C9">
    <cfRule type="duplicateValues" dxfId="54" priority="8"/>
    <cfRule type="duplicateValues" dxfId="53" priority="9"/>
  </conditionalFormatting>
  <conditionalFormatting sqref="C11">
    <cfRule type="duplicateValues" dxfId="52" priority="6"/>
    <cfRule type="duplicateValues" dxfId="51" priority="7"/>
  </conditionalFormatting>
  <conditionalFormatting sqref="C13">
    <cfRule type="duplicateValues" dxfId="50" priority="4"/>
    <cfRule type="duplicateValues" dxfId="49" priority="5"/>
  </conditionalFormatting>
  <conditionalFormatting sqref="C14">
    <cfRule type="duplicateValues" dxfId="48" priority="26"/>
    <cfRule type="duplicateValues" dxfId="47" priority="27"/>
  </conditionalFormatting>
  <conditionalFormatting sqref="C23:T23 C43:T43">
    <cfRule type="cellIs" dxfId="46" priority="1" operator="equal">
      <formula>0</formula>
    </cfRule>
    <cfRule type="cellIs" dxfId="45" priority="2" operator="greaterThan">
      <formula>0</formula>
    </cfRule>
    <cfRule type="cellIs" dxfId="44" priority="3" operator="lessThan">
      <formula>0</formula>
    </cfRule>
  </conditionalFormatting>
  <conditionalFormatting sqref="D5">
    <cfRule type="duplicateValues" dxfId="43" priority="22"/>
    <cfRule type="duplicateValues" dxfId="42" priority="23"/>
  </conditionalFormatting>
  <conditionalFormatting sqref="D7">
    <cfRule type="duplicateValues" dxfId="41" priority="20"/>
    <cfRule type="duplicateValues" dxfId="40" priority="21"/>
  </conditionalFormatting>
  <conditionalFormatting sqref="D9">
    <cfRule type="duplicateValues" dxfId="39" priority="18"/>
    <cfRule type="duplicateValues" dxfId="38" priority="19"/>
  </conditionalFormatting>
  <conditionalFormatting sqref="D11">
    <cfRule type="duplicateValues" dxfId="37" priority="16"/>
    <cfRule type="duplicateValues" dxfId="36" priority="17"/>
  </conditionalFormatting>
  <conditionalFormatting sqref="D13">
    <cfRule type="duplicateValues" dxfId="35" priority="14"/>
    <cfRule type="duplicateValues" dxfId="34" priority="15"/>
  </conditionalFormatting>
  <conditionalFormatting sqref="D14">
    <cfRule type="duplicateValues" dxfId="33" priority="24"/>
    <cfRule type="duplicateValues" dxfId="32" priority="25"/>
  </conditionalFormatting>
  <conditionalFormatting sqref="V2:W2">
    <cfRule type="duplicateValues" dxfId="31" priority="28"/>
    <cfRule type="duplicateValues" dxfId="30" priority="29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C1BA-F566-439A-8DB7-FD535C092A5C}">
  <dimension ref="B2:J3"/>
  <sheetViews>
    <sheetView workbookViewId="0">
      <selection activeCell="B2" sqref="B2:J3"/>
    </sheetView>
  </sheetViews>
  <sheetFormatPr defaultRowHeight="15" x14ac:dyDescent="0.25"/>
  <sheetData>
    <row r="2" spans="2:10" x14ac:dyDescent="0.25"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</row>
    <row r="3" spans="2:10" x14ac:dyDescent="0.25">
      <c r="B3">
        <v>5000133365</v>
      </c>
      <c r="C3">
        <v>-40</v>
      </c>
      <c r="D3">
        <v>-425</v>
      </c>
      <c r="E3">
        <v>-25</v>
      </c>
      <c r="F3">
        <v>-139</v>
      </c>
      <c r="G3">
        <v>-60</v>
      </c>
      <c r="H3">
        <v>-25</v>
      </c>
      <c r="I3">
        <v>-25</v>
      </c>
      <c r="J3">
        <v>-739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32811-3713-42A6-A555-29D4BA3AA131}">
  <dimension ref="B2:AP43"/>
  <sheetViews>
    <sheetView workbookViewId="0">
      <selection sqref="A1:XFD1048576"/>
    </sheetView>
  </sheetViews>
  <sheetFormatPr defaultColWidth="8.7109375" defaultRowHeight="15" x14ac:dyDescent="0.25"/>
  <cols>
    <col min="1" max="1" width="8.7109375" style="1"/>
    <col min="2" max="2" width="27.7109375" style="1" bestFit="1" customWidth="1"/>
    <col min="3" max="18" width="9.42578125" style="1" customWidth="1"/>
    <col min="19" max="33" width="8" style="1" customWidth="1"/>
    <col min="34" max="34" width="16.85546875" style="1" bestFit="1" customWidth="1"/>
    <col min="35" max="35" width="8.7109375" style="1"/>
    <col min="36" max="36" width="11.7109375" style="1" bestFit="1" customWidth="1"/>
    <col min="37" max="37" width="16" style="1" bestFit="1" customWidth="1"/>
    <col min="38" max="38" width="6" style="1" bestFit="1" customWidth="1"/>
    <col min="39" max="41" width="8.7109375" style="1"/>
    <col min="42" max="42" width="14.140625" style="1" customWidth="1"/>
    <col min="43" max="16384" width="8.7109375" style="1"/>
  </cols>
  <sheetData>
    <row r="2" spans="2:42" x14ac:dyDescent="0.25">
      <c r="AJ2" s="9"/>
      <c r="AK2" s="10">
        <v>5000133365</v>
      </c>
      <c r="AL2" s="11"/>
      <c r="AM2" s="12" t="s">
        <v>11</v>
      </c>
      <c r="AN2" s="13"/>
      <c r="AO2" s="13"/>
      <c r="AP2" s="13"/>
    </row>
    <row r="4" spans="2:42" x14ac:dyDescent="0.25">
      <c r="B4" s="14" t="s">
        <v>12</v>
      </c>
      <c r="C4" s="18">
        <v>1</v>
      </c>
      <c r="D4" s="18">
        <v>2</v>
      </c>
      <c r="E4" s="23">
        <v>3</v>
      </c>
      <c r="F4" s="23">
        <v>4</v>
      </c>
      <c r="G4" s="18">
        <v>5</v>
      </c>
      <c r="H4" s="18">
        <v>6</v>
      </c>
      <c r="I4" s="18">
        <v>7</v>
      </c>
      <c r="J4" s="18">
        <v>8</v>
      </c>
      <c r="K4" s="18">
        <v>9</v>
      </c>
      <c r="L4" s="18">
        <v>10</v>
      </c>
      <c r="M4" s="18">
        <v>11</v>
      </c>
      <c r="N4" s="18">
        <v>12</v>
      </c>
      <c r="O4" s="18">
        <v>13</v>
      </c>
      <c r="P4" s="18">
        <v>14</v>
      </c>
      <c r="Q4" s="18">
        <v>15</v>
      </c>
      <c r="R4" s="18">
        <v>16</v>
      </c>
      <c r="S4" s="18">
        <v>17</v>
      </c>
      <c r="T4" s="18">
        <v>18</v>
      </c>
      <c r="U4" s="18">
        <v>19</v>
      </c>
      <c r="V4" s="18">
        <v>20</v>
      </c>
      <c r="W4" s="18">
        <v>21</v>
      </c>
      <c r="X4" s="18">
        <v>22</v>
      </c>
      <c r="Y4" s="18">
        <v>23</v>
      </c>
      <c r="Z4" s="18">
        <v>24</v>
      </c>
      <c r="AA4" s="18">
        <v>25</v>
      </c>
      <c r="AB4" s="18">
        <v>26</v>
      </c>
      <c r="AC4" s="18">
        <v>27</v>
      </c>
      <c r="AD4" s="18">
        <v>28</v>
      </c>
      <c r="AE4" s="18">
        <v>29</v>
      </c>
      <c r="AF4" s="18">
        <v>30</v>
      </c>
      <c r="AG4" s="18">
        <v>31</v>
      </c>
      <c r="AH4" s="3" t="s">
        <v>13</v>
      </c>
    </row>
    <row r="5" spans="2:42" x14ac:dyDescent="0.25">
      <c r="B5" s="16" t="s">
        <v>16</v>
      </c>
      <c r="C5" s="17">
        <v>48</v>
      </c>
      <c r="D5" s="17">
        <v>46</v>
      </c>
      <c r="E5" s="17">
        <v>18</v>
      </c>
      <c r="F5" s="17">
        <v>22</v>
      </c>
      <c r="G5" s="17">
        <v>47</v>
      </c>
      <c r="H5" s="17">
        <v>49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8">
        <v>3</v>
      </c>
      <c r="AK5" s="1" t="s">
        <v>17</v>
      </c>
    </row>
    <row r="6" spans="2:42" x14ac:dyDescent="0.25">
      <c r="B6" s="16" t="s">
        <v>19</v>
      </c>
      <c r="C6" s="16">
        <f>$AH5*C5</f>
        <v>144</v>
      </c>
      <c r="D6" s="16">
        <f t="shared" ref="D6:AG6" si="0">$AH5*D5</f>
        <v>138</v>
      </c>
      <c r="E6" s="16">
        <f t="shared" si="0"/>
        <v>54</v>
      </c>
      <c r="F6" s="16">
        <f t="shared" si="0"/>
        <v>66</v>
      </c>
      <c r="G6" s="16">
        <f t="shared" si="0"/>
        <v>141</v>
      </c>
      <c r="H6" s="16">
        <f t="shared" si="0"/>
        <v>147</v>
      </c>
      <c r="I6" s="16">
        <f t="shared" si="0"/>
        <v>0</v>
      </c>
      <c r="J6" s="16">
        <f t="shared" si="0"/>
        <v>0</v>
      </c>
      <c r="K6" s="16">
        <f t="shared" si="0"/>
        <v>0</v>
      </c>
      <c r="L6" s="16">
        <f t="shared" si="0"/>
        <v>0</v>
      </c>
      <c r="M6" s="16">
        <f t="shared" si="0"/>
        <v>0</v>
      </c>
      <c r="N6" s="16">
        <f t="shared" si="0"/>
        <v>0</v>
      </c>
      <c r="O6" s="16">
        <f t="shared" si="0"/>
        <v>0</v>
      </c>
      <c r="P6" s="16">
        <f t="shared" si="0"/>
        <v>0</v>
      </c>
      <c r="Q6" s="16">
        <f t="shared" si="0"/>
        <v>0</v>
      </c>
      <c r="R6" s="16">
        <f t="shared" si="0"/>
        <v>0</v>
      </c>
      <c r="S6" s="16">
        <f t="shared" si="0"/>
        <v>0</v>
      </c>
      <c r="T6" s="16">
        <f t="shared" si="0"/>
        <v>0</v>
      </c>
      <c r="U6" s="16">
        <f t="shared" si="0"/>
        <v>0</v>
      </c>
      <c r="V6" s="16">
        <f t="shared" si="0"/>
        <v>0</v>
      </c>
      <c r="W6" s="16">
        <f t="shared" si="0"/>
        <v>0</v>
      </c>
      <c r="X6" s="16">
        <f t="shared" si="0"/>
        <v>0</v>
      </c>
      <c r="Y6" s="16">
        <f t="shared" si="0"/>
        <v>0</v>
      </c>
      <c r="Z6" s="16">
        <f t="shared" si="0"/>
        <v>0</v>
      </c>
      <c r="AA6" s="16">
        <f t="shared" si="0"/>
        <v>0</v>
      </c>
      <c r="AB6" s="16">
        <f t="shared" si="0"/>
        <v>0</v>
      </c>
      <c r="AC6" s="16">
        <f t="shared" si="0"/>
        <v>0</v>
      </c>
      <c r="AD6" s="16">
        <f t="shared" si="0"/>
        <v>0</v>
      </c>
      <c r="AE6" s="16">
        <f t="shared" si="0"/>
        <v>0</v>
      </c>
      <c r="AF6" s="16">
        <f t="shared" si="0"/>
        <v>0</v>
      </c>
      <c r="AG6" s="16">
        <f t="shared" si="0"/>
        <v>0</v>
      </c>
      <c r="AH6" s="18"/>
      <c r="AK6" s="1" t="s">
        <v>4</v>
      </c>
      <c r="AL6" s="1">
        <v>22358</v>
      </c>
    </row>
    <row r="7" spans="2:42" x14ac:dyDescent="0.25">
      <c r="B7" s="16" t="s">
        <v>20</v>
      </c>
      <c r="C7" s="17">
        <v>49</v>
      </c>
      <c r="D7" s="17">
        <v>49</v>
      </c>
      <c r="E7" s="17">
        <v>24</v>
      </c>
      <c r="F7" s="17">
        <v>23</v>
      </c>
      <c r="G7" s="17">
        <v>47</v>
      </c>
      <c r="H7" s="17">
        <v>47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8">
        <v>5</v>
      </c>
      <c r="AK7" s="1" t="s">
        <v>5</v>
      </c>
      <c r="AL7" s="1">
        <v>19584</v>
      </c>
    </row>
    <row r="8" spans="2:42" x14ac:dyDescent="0.25">
      <c r="B8" s="16" t="s">
        <v>19</v>
      </c>
      <c r="C8" s="16">
        <f>$AH7*C7</f>
        <v>245</v>
      </c>
      <c r="D8" s="16">
        <f t="shared" ref="D8:AG8" si="1">$AH7*D7</f>
        <v>245</v>
      </c>
      <c r="E8" s="16">
        <f t="shared" si="1"/>
        <v>120</v>
      </c>
      <c r="F8" s="16">
        <f t="shared" si="1"/>
        <v>115</v>
      </c>
      <c r="G8" s="16">
        <f t="shared" si="1"/>
        <v>235</v>
      </c>
      <c r="H8" s="16">
        <f t="shared" si="1"/>
        <v>235</v>
      </c>
      <c r="I8" s="16">
        <f t="shared" si="1"/>
        <v>0</v>
      </c>
      <c r="J8" s="16">
        <f t="shared" si="1"/>
        <v>0</v>
      </c>
      <c r="K8" s="16">
        <f t="shared" si="1"/>
        <v>0</v>
      </c>
      <c r="L8" s="16">
        <f t="shared" si="1"/>
        <v>0</v>
      </c>
      <c r="M8" s="16">
        <f t="shared" si="1"/>
        <v>0</v>
      </c>
      <c r="N8" s="16">
        <f t="shared" si="1"/>
        <v>0</v>
      </c>
      <c r="O8" s="16">
        <f t="shared" si="1"/>
        <v>0</v>
      </c>
      <c r="P8" s="16">
        <f t="shared" si="1"/>
        <v>0</v>
      </c>
      <c r="Q8" s="16">
        <f t="shared" si="1"/>
        <v>0</v>
      </c>
      <c r="R8" s="16">
        <f t="shared" si="1"/>
        <v>0</v>
      </c>
      <c r="S8" s="16">
        <f t="shared" si="1"/>
        <v>0</v>
      </c>
      <c r="T8" s="16">
        <f t="shared" si="1"/>
        <v>0</v>
      </c>
      <c r="U8" s="16">
        <f t="shared" si="1"/>
        <v>0</v>
      </c>
      <c r="V8" s="16">
        <f t="shared" si="1"/>
        <v>0</v>
      </c>
      <c r="W8" s="16">
        <f t="shared" si="1"/>
        <v>0</v>
      </c>
      <c r="X8" s="16">
        <f t="shared" si="1"/>
        <v>0</v>
      </c>
      <c r="Y8" s="16">
        <f t="shared" si="1"/>
        <v>0</v>
      </c>
      <c r="Z8" s="16">
        <f t="shared" si="1"/>
        <v>0</v>
      </c>
      <c r="AA8" s="16">
        <f t="shared" si="1"/>
        <v>0</v>
      </c>
      <c r="AB8" s="16">
        <f t="shared" si="1"/>
        <v>0</v>
      </c>
      <c r="AC8" s="16">
        <f t="shared" si="1"/>
        <v>0</v>
      </c>
      <c r="AD8" s="16">
        <f t="shared" si="1"/>
        <v>0</v>
      </c>
      <c r="AE8" s="16">
        <f t="shared" si="1"/>
        <v>0</v>
      </c>
      <c r="AF8" s="16">
        <f t="shared" si="1"/>
        <v>0</v>
      </c>
      <c r="AG8" s="16">
        <f t="shared" si="1"/>
        <v>0</v>
      </c>
      <c r="AH8" s="18"/>
    </row>
    <row r="9" spans="2:42" x14ac:dyDescent="0.25">
      <c r="B9" s="16" t="s">
        <v>21</v>
      </c>
      <c r="C9" s="17">
        <v>265</v>
      </c>
      <c r="D9" s="17">
        <v>260</v>
      </c>
      <c r="E9" s="17">
        <v>112</v>
      </c>
      <c r="F9" s="17">
        <v>116</v>
      </c>
      <c r="G9" s="17">
        <v>262</v>
      </c>
      <c r="H9" s="17">
        <v>268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8">
        <v>3</v>
      </c>
    </row>
    <row r="10" spans="2:42" x14ac:dyDescent="0.25">
      <c r="B10" s="16" t="s">
        <v>19</v>
      </c>
      <c r="C10" s="16">
        <f>$AH9*C9</f>
        <v>795</v>
      </c>
      <c r="D10" s="16">
        <f t="shared" ref="D10:AG10" si="2">$AH9*D9</f>
        <v>780</v>
      </c>
      <c r="E10" s="16">
        <f t="shared" si="2"/>
        <v>336</v>
      </c>
      <c r="F10" s="16">
        <f t="shared" si="2"/>
        <v>348</v>
      </c>
      <c r="G10" s="16">
        <f t="shared" si="2"/>
        <v>786</v>
      </c>
      <c r="H10" s="16">
        <f t="shared" si="2"/>
        <v>804</v>
      </c>
      <c r="I10" s="16">
        <f t="shared" si="2"/>
        <v>0</v>
      </c>
      <c r="J10" s="16">
        <f t="shared" si="2"/>
        <v>0</v>
      </c>
      <c r="K10" s="16">
        <f t="shared" si="2"/>
        <v>0</v>
      </c>
      <c r="L10" s="16">
        <f t="shared" si="2"/>
        <v>0</v>
      </c>
      <c r="M10" s="16">
        <f t="shared" si="2"/>
        <v>0</v>
      </c>
      <c r="N10" s="16">
        <f t="shared" si="2"/>
        <v>0</v>
      </c>
      <c r="O10" s="16">
        <f t="shared" si="2"/>
        <v>0</v>
      </c>
      <c r="P10" s="16">
        <f t="shared" si="2"/>
        <v>0</v>
      </c>
      <c r="Q10" s="16">
        <f t="shared" si="2"/>
        <v>0</v>
      </c>
      <c r="R10" s="16">
        <f t="shared" si="2"/>
        <v>0</v>
      </c>
      <c r="S10" s="16">
        <f t="shared" si="2"/>
        <v>0</v>
      </c>
      <c r="T10" s="16">
        <f t="shared" si="2"/>
        <v>0</v>
      </c>
      <c r="U10" s="16">
        <f t="shared" si="2"/>
        <v>0</v>
      </c>
      <c r="V10" s="16">
        <f t="shared" si="2"/>
        <v>0</v>
      </c>
      <c r="W10" s="16">
        <f t="shared" si="2"/>
        <v>0</v>
      </c>
      <c r="X10" s="16">
        <f t="shared" si="2"/>
        <v>0</v>
      </c>
      <c r="Y10" s="16">
        <f t="shared" si="2"/>
        <v>0</v>
      </c>
      <c r="Z10" s="16">
        <f t="shared" si="2"/>
        <v>0</v>
      </c>
      <c r="AA10" s="16">
        <f t="shared" si="2"/>
        <v>0</v>
      </c>
      <c r="AB10" s="16">
        <f t="shared" si="2"/>
        <v>0</v>
      </c>
      <c r="AC10" s="16">
        <f t="shared" si="2"/>
        <v>0</v>
      </c>
      <c r="AD10" s="16">
        <f t="shared" si="2"/>
        <v>0</v>
      </c>
      <c r="AE10" s="16">
        <f t="shared" si="2"/>
        <v>0</v>
      </c>
      <c r="AF10" s="16">
        <f t="shared" si="2"/>
        <v>0</v>
      </c>
      <c r="AG10" s="16">
        <f t="shared" si="2"/>
        <v>0</v>
      </c>
      <c r="AH10" s="18"/>
    </row>
    <row r="11" spans="2:42" x14ac:dyDescent="0.25">
      <c r="B11" s="16" t="s">
        <v>22</v>
      </c>
      <c r="C11" s="17">
        <v>42</v>
      </c>
      <c r="D11" s="17">
        <v>44</v>
      </c>
      <c r="E11" s="17">
        <v>19</v>
      </c>
      <c r="F11" s="17">
        <v>17</v>
      </c>
      <c r="G11" s="17">
        <v>47</v>
      </c>
      <c r="H11" s="17">
        <v>44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8">
        <v>3</v>
      </c>
    </row>
    <row r="12" spans="2:42" x14ac:dyDescent="0.25">
      <c r="B12" s="16" t="s">
        <v>19</v>
      </c>
      <c r="C12" s="16">
        <f>$AH11*C11</f>
        <v>126</v>
      </c>
      <c r="D12" s="16">
        <f t="shared" ref="D12:AG12" si="3">$AH11*D11</f>
        <v>132</v>
      </c>
      <c r="E12" s="16">
        <f t="shared" si="3"/>
        <v>57</v>
      </c>
      <c r="F12" s="16">
        <f t="shared" si="3"/>
        <v>51</v>
      </c>
      <c r="G12" s="16">
        <f t="shared" si="3"/>
        <v>141</v>
      </c>
      <c r="H12" s="16">
        <f t="shared" si="3"/>
        <v>132</v>
      </c>
      <c r="I12" s="16">
        <f t="shared" si="3"/>
        <v>0</v>
      </c>
      <c r="J12" s="16">
        <f t="shared" si="3"/>
        <v>0</v>
      </c>
      <c r="K12" s="16">
        <f t="shared" si="3"/>
        <v>0</v>
      </c>
      <c r="L12" s="16">
        <f t="shared" si="3"/>
        <v>0</v>
      </c>
      <c r="M12" s="16">
        <f t="shared" si="3"/>
        <v>0</v>
      </c>
      <c r="N12" s="16">
        <f t="shared" si="3"/>
        <v>0</v>
      </c>
      <c r="O12" s="16">
        <f t="shared" si="3"/>
        <v>0</v>
      </c>
      <c r="P12" s="16">
        <f t="shared" si="3"/>
        <v>0</v>
      </c>
      <c r="Q12" s="16">
        <f t="shared" si="3"/>
        <v>0</v>
      </c>
      <c r="R12" s="16">
        <f t="shared" si="3"/>
        <v>0</v>
      </c>
      <c r="S12" s="16">
        <f t="shared" si="3"/>
        <v>0</v>
      </c>
      <c r="T12" s="16">
        <f t="shared" si="3"/>
        <v>0</v>
      </c>
      <c r="U12" s="16">
        <f t="shared" si="3"/>
        <v>0</v>
      </c>
      <c r="V12" s="16">
        <f t="shared" si="3"/>
        <v>0</v>
      </c>
      <c r="W12" s="16">
        <f t="shared" si="3"/>
        <v>0</v>
      </c>
      <c r="X12" s="16">
        <f t="shared" si="3"/>
        <v>0</v>
      </c>
      <c r="Y12" s="16">
        <f t="shared" si="3"/>
        <v>0</v>
      </c>
      <c r="Z12" s="16">
        <f t="shared" si="3"/>
        <v>0</v>
      </c>
      <c r="AA12" s="16">
        <f t="shared" si="3"/>
        <v>0</v>
      </c>
      <c r="AB12" s="16">
        <f t="shared" si="3"/>
        <v>0</v>
      </c>
      <c r="AC12" s="16">
        <f t="shared" si="3"/>
        <v>0</v>
      </c>
      <c r="AD12" s="16">
        <f t="shared" si="3"/>
        <v>0</v>
      </c>
      <c r="AE12" s="16">
        <f t="shared" si="3"/>
        <v>0</v>
      </c>
      <c r="AF12" s="16">
        <f t="shared" si="3"/>
        <v>0</v>
      </c>
      <c r="AG12" s="16">
        <f t="shared" si="3"/>
        <v>0</v>
      </c>
      <c r="AH12" s="18"/>
    </row>
    <row r="13" spans="2:42" x14ac:dyDescent="0.25">
      <c r="B13" s="16" t="s">
        <v>23</v>
      </c>
      <c r="C13" s="17">
        <v>190</v>
      </c>
      <c r="D13" s="17">
        <v>178</v>
      </c>
      <c r="E13" s="17">
        <v>78</v>
      </c>
      <c r="F13" s="17">
        <v>88</v>
      </c>
      <c r="G13" s="17">
        <v>190</v>
      </c>
      <c r="H13" s="17">
        <v>184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8">
        <v>5</v>
      </c>
    </row>
    <row r="14" spans="2:42" x14ac:dyDescent="0.25">
      <c r="B14" s="3"/>
      <c r="C14" s="16">
        <f t="shared" ref="C14:AG14" si="4">$AH13*C13</f>
        <v>950</v>
      </c>
      <c r="D14" s="16">
        <f t="shared" si="4"/>
        <v>890</v>
      </c>
      <c r="E14" s="16">
        <f t="shared" si="4"/>
        <v>390</v>
      </c>
      <c r="F14" s="16">
        <f t="shared" si="4"/>
        <v>440</v>
      </c>
      <c r="G14" s="16">
        <f t="shared" si="4"/>
        <v>950</v>
      </c>
      <c r="H14" s="16">
        <f t="shared" si="4"/>
        <v>920</v>
      </c>
      <c r="I14" s="16">
        <f t="shared" si="4"/>
        <v>0</v>
      </c>
      <c r="J14" s="16">
        <f t="shared" si="4"/>
        <v>0</v>
      </c>
      <c r="K14" s="16">
        <f t="shared" si="4"/>
        <v>0</v>
      </c>
      <c r="L14" s="16">
        <f t="shared" si="4"/>
        <v>0</v>
      </c>
      <c r="M14" s="16">
        <f t="shared" si="4"/>
        <v>0</v>
      </c>
      <c r="N14" s="16">
        <f t="shared" si="4"/>
        <v>0</v>
      </c>
      <c r="O14" s="16">
        <f t="shared" si="4"/>
        <v>0</v>
      </c>
      <c r="P14" s="16">
        <f t="shared" si="4"/>
        <v>0</v>
      </c>
      <c r="Q14" s="16">
        <f t="shared" si="4"/>
        <v>0</v>
      </c>
      <c r="R14" s="16">
        <f t="shared" si="4"/>
        <v>0</v>
      </c>
      <c r="S14" s="16">
        <f t="shared" si="4"/>
        <v>0</v>
      </c>
      <c r="T14" s="16">
        <f t="shared" si="4"/>
        <v>0</v>
      </c>
      <c r="U14" s="16">
        <f t="shared" si="4"/>
        <v>0</v>
      </c>
      <c r="V14" s="16">
        <f t="shared" si="4"/>
        <v>0</v>
      </c>
      <c r="W14" s="16">
        <f t="shared" si="4"/>
        <v>0</v>
      </c>
      <c r="X14" s="16">
        <f t="shared" si="4"/>
        <v>0</v>
      </c>
      <c r="Y14" s="16">
        <f t="shared" si="4"/>
        <v>0</v>
      </c>
      <c r="Z14" s="16">
        <f t="shared" si="4"/>
        <v>0</v>
      </c>
      <c r="AA14" s="16">
        <f t="shared" si="4"/>
        <v>0</v>
      </c>
      <c r="AB14" s="16">
        <f t="shared" si="4"/>
        <v>0</v>
      </c>
      <c r="AC14" s="16">
        <f t="shared" si="4"/>
        <v>0</v>
      </c>
      <c r="AD14" s="16">
        <f t="shared" si="4"/>
        <v>0</v>
      </c>
      <c r="AE14" s="16">
        <f t="shared" si="4"/>
        <v>0</v>
      </c>
      <c r="AF14" s="16">
        <f t="shared" si="4"/>
        <v>0</v>
      </c>
      <c r="AG14" s="16">
        <f t="shared" si="4"/>
        <v>0</v>
      </c>
      <c r="AH14" s="18"/>
    </row>
    <row r="18" spans="2:34" x14ac:dyDescent="0.25">
      <c r="B18" s="19" t="s">
        <v>24</v>
      </c>
      <c r="C18" s="19">
        <v>1</v>
      </c>
      <c r="D18" s="19">
        <v>2</v>
      </c>
      <c r="E18" s="19">
        <v>3</v>
      </c>
      <c r="F18" s="19">
        <v>4</v>
      </c>
      <c r="G18" s="19">
        <v>5</v>
      </c>
      <c r="H18" s="19">
        <v>6</v>
      </c>
      <c r="I18" s="19">
        <v>7</v>
      </c>
      <c r="J18" s="19">
        <v>8</v>
      </c>
      <c r="K18" s="19">
        <v>9</v>
      </c>
      <c r="L18" s="19">
        <v>10</v>
      </c>
      <c r="M18" s="19">
        <v>11</v>
      </c>
      <c r="N18" s="19">
        <v>12</v>
      </c>
      <c r="O18" s="19">
        <v>13</v>
      </c>
      <c r="P18" s="19">
        <v>14</v>
      </c>
      <c r="Q18" s="19">
        <v>15</v>
      </c>
      <c r="R18" s="19">
        <v>16</v>
      </c>
      <c r="S18" s="19">
        <v>17</v>
      </c>
      <c r="T18" s="19">
        <v>18</v>
      </c>
      <c r="U18" s="19">
        <v>19</v>
      </c>
      <c r="V18" s="19">
        <v>20</v>
      </c>
      <c r="W18" s="19">
        <v>21</v>
      </c>
      <c r="X18" s="19">
        <v>22</v>
      </c>
      <c r="Y18" s="19">
        <v>23</v>
      </c>
      <c r="Z18" s="19">
        <v>24</v>
      </c>
      <c r="AA18" s="19">
        <v>25</v>
      </c>
      <c r="AB18" s="19">
        <v>26</v>
      </c>
      <c r="AC18" s="19">
        <v>27</v>
      </c>
      <c r="AD18" s="19">
        <v>28</v>
      </c>
      <c r="AE18" s="19">
        <v>29</v>
      </c>
      <c r="AF18" s="19">
        <v>30</v>
      </c>
      <c r="AG18" s="19">
        <v>31</v>
      </c>
      <c r="AH18" s="3" t="s">
        <v>15</v>
      </c>
    </row>
    <row r="19" spans="2:34" x14ac:dyDescent="0.25">
      <c r="B19" s="19" t="s">
        <v>25</v>
      </c>
      <c r="C19" s="3">
        <f t="shared" ref="C19:R19" si="5">C6+C8+C10+C12+C14</f>
        <v>2260</v>
      </c>
      <c r="D19" s="3">
        <f t="shared" si="5"/>
        <v>2185</v>
      </c>
      <c r="E19" s="3">
        <f t="shared" si="5"/>
        <v>957</v>
      </c>
      <c r="F19" s="3">
        <f t="shared" si="5"/>
        <v>1020</v>
      </c>
      <c r="G19" s="3">
        <f t="shared" si="5"/>
        <v>2253</v>
      </c>
      <c r="H19" s="3">
        <f t="shared" si="5"/>
        <v>2238</v>
      </c>
      <c r="I19" s="3">
        <f t="shared" si="5"/>
        <v>0</v>
      </c>
      <c r="J19" s="3">
        <f t="shared" si="5"/>
        <v>0</v>
      </c>
      <c r="K19" s="3">
        <f t="shared" si="5"/>
        <v>0</v>
      </c>
      <c r="L19" s="3">
        <f t="shared" si="5"/>
        <v>0</v>
      </c>
      <c r="M19" s="3">
        <f t="shared" si="5"/>
        <v>0</v>
      </c>
      <c r="N19" s="3">
        <f t="shared" si="5"/>
        <v>0</v>
      </c>
      <c r="O19" s="3">
        <f t="shared" si="5"/>
        <v>0</v>
      </c>
      <c r="P19" s="3">
        <f t="shared" si="5"/>
        <v>0</v>
      </c>
      <c r="Q19" s="3">
        <f t="shared" si="5"/>
        <v>0</v>
      </c>
      <c r="R19" s="3">
        <f t="shared" si="5"/>
        <v>0</v>
      </c>
      <c r="S19" s="3">
        <f>S6+S8+S10+S12+S14</f>
        <v>0</v>
      </c>
      <c r="T19" s="3">
        <f>T6+T8+T10+T12+T14</f>
        <v>0</v>
      </c>
      <c r="U19" s="3">
        <f>U6+U8+U10+U12+U14</f>
        <v>0</v>
      </c>
      <c r="V19" s="3">
        <f t="shared" ref="V19:AG19" si="6">V6+V8+V10+V12+V14</f>
        <v>0</v>
      </c>
      <c r="W19" s="3">
        <f t="shared" si="6"/>
        <v>0</v>
      </c>
      <c r="X19" s="3">
        <f t="shared" si="6"/>
        <v>0</v>
      </c>
      <c r="Y19" s="3">
        <f t="shared" si="6"/>
        <v>0</v>
      </c>
      <c r="Z19" s="3">
        <f t="shared" si="6"/>
        <v>0</v>
      </c>
      <c r="AA19" s="3">
        <f t="shared" si="6"/>
        <v>0</v>
      </c>
      <c r="AB19" s="3">
        <f t="shared" si="6"/>
        <v>0</v>
      </c>
      <c r="AC19" s="3">
        <f t="shared" si="6"/>
        <v>0</v>
      </c>
      <c r="AD19" s="3">
        <f t="shared" si="6"/>
        <v>0</v>
      </c>
      <c r="AE19" s="3">
        <f t="shared" si="6"/>
        <v>0</v>
      </c>
      <c r="AF19" s="3">
        <f t="shared" si="6"/>
        <v>0</v>
      </c>
      <c r="AG19" s="3">
        <f t="shared" si="6"/>
        <v>0</v>
      </c>
      <c r="AH19" s="3">
        <f>SUM(S19:AG19)</f>
        <v>0</v>
      </c>
    </row>
    <row r="20" spans="2:34" x14ac:dyDescent="0.25">
      <c r="B20" s="19" t="s">
        <v>26</v>
      </c>
      <c r="C20" s="19">
        <v>2260</v>
      </c>
      <c r="D20" s="19">
        <v>2194</v>
      </c>
      <c r="E20" s="19">
        <v>957</v>
      </c>
      <c r="F20" s="19">
        <v>1022</v>
      </c>
      <c r="G20" s="19">
        <v>2253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f>SUM(S20:AG20)</f>
        <v>0</v>
      </c>
    </row>
    <row r="22" spans="2:34" x14ac:dyDescent="0.25">
      <c r="B22" s="20" t="s">
        <v>27</v>
      </c>
      <c r="C22" s="3" t="s">
        <v>3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28</v>
      </c>
    </row>
    <row r="23" spans="2:34" ht="14.45" customHeight="1" x14ac:dyDescent="0.25">
      <c r="B23" s="20"/>
      <c r="C23" s="3">
        <f t="shared" ref="C23:AG23" si="7">C20-C19</f>
        <v>0</v>
      </c>
      <c r="D23" s="3">
        <f t="shared" si="7"/>
        <v>9</v>
      </c>
      <c r="E23" s="3">
        <f t="shared" si="7"/>
        <v>0</v>
      </c>
      <c r="F23" s="3">
        <f t="shared" si="7"/>
        <v>2</v>
      </c>
      <c r="G23" s="3">
        <f t="shared" si="7"/>
        <v>0</v>
      </c>
      <c r="H23" s="3">
        <f t="shared" si="7"/>
        <v>-2238</v>
      </c>
      <c r="I23" s="3">
        <f t="shared" si="7"/>
        <v>0</v>
      </c>
      <c r="J23" s="3">
        <f t="shared" si="7"/>
        <v>0</v>
      </c>
      <c r="K23" s="3">
        <f t="shared" si="7"/>
        <v>0</v>
      </c>
      <c r="L23" s="3">
        <f t="shared" si="7"/>
        <v>0</v>
      </c>
      <c r="M23" s="3">
        <f t="shared" si="7"/>
        <v>0</v>
      </c>
      <c r="N23" s="3">
        <f t="shared" si="7"/>
        <v>0</v>
      </c>
      <c r="O23" s="3">
        <f t="shared" si="7"/>
        <v>0</v>
      </c>
      <c r="P23" s="3">
        <f t="shared" si="7"/>
        <v>0</v>
      </c>
      <c r="Q23" s="3">
        <f t="shared" si="7"/>
        <v>0</v>
      </c>
      <c r="R23" s="3">
        <f t="shared" si="7"/>
        <v>0</v>
      </c>
      <c r="S23" s="3">
        <f t="shared" si="7"/>
        <v>0</v>
      </c>
      <c r="T23" s="3">
        <f t="shared" si="7"/>
        <v>0</v>
      </c>
      <c r="U23" s="3">
        <f t="shared" si="7"/>
        <v>0</v>
      </c>
      <c r="V23" s="3">
        <f t="shared" si="7"/>
        <v>0</v>
      </c>
      <c r="W23" s="3">
        <f t="shared" si="7"/>
        <v>0</v>
      </c>
      <c r="X23" s="3">
        <f t="shared" si="7"/>
        <v>0</v>
      </c>
      <c r="Y23" s="3">
        <f t="shared" si="7"/>
        <v>0</v>
      </c>
      <c r="Z23" s="3">
        <f t="shared" si="7"/>
        <v>0</v>
      </c>
      <c r="AA23" s="3">
        <f t="shared" si="7"/>
        <v>0</v>
      </c>
      <c r="AB23" s="3">
        <f t="shared" si="7"/>
        <v>0</v>
      </c>
      <c r="AC23" s="3">
        <f t="shared" si="7"/>
        <v>0</v>
      </c>
      <c r="AD23" s="3">
        <f t="shared" si="7"/>
        <v>0</v>
      </c>
      <c r="AE23" s="3">
        <f t="shared" si="7"/>
        <v>0</v>
      </c>
      <c r="AF23" s="3">
        <f t="shared" si="7"/>
        <v>0</v>
      </c>
      <c r="AG23" s="3">
        <f t="shared" si="7"/>
        <v>0</v>
      </c>
      <c r="AH23" s="3">
        <f>AH20-AH19</f>
        <v>0</v>
      </c>
    </row>
    <row r="26" spans="2:34" x14ac:dyDescent="0.25">
      <c r="B26" s="21" t="s">
        <v>29</v>
      </c>
      <c r="C26" s="18">
        <v>1</v>
      </c>
      <c r="D26" s="18">
        <v>2</v>
      </c>
      <c r="E26" s="23">
        <v>3</v>
      </c>
      <c r="F26" s="23">
        <v>4</v>
      </c>
      <c r="G26" s="18">
        <v>5</v>
      </c>
      <c r="H26" s="18">
        <v>6</v>
      </c>
      <c r="I26" s="18">
        <v>7</v>
      </c>
      <c r="J26" s="18">
        <v>8</v>
      </c>
      <c r="K26" s="18">
        <v>9</v>
      </c>
      <c r="L26" s="18">
        <v>10</v>
      </c>
      <c r="M26" s="18">
        <v>11</v>
      </c>
      <c r="N26" s="18">
        <v>12</v>
      </c>
      <c r="O26" s="18">
        <v>13</v>
      </c>
      <c r="P26" s="18">
        <v>14</v>
      </c>
      <c r="Q26" s="18">
        <v>15</v>
      </c>
      <c r="R26" s="18">
        <v>16</v>
      </c>
      <c r="S26" s="18">
        <v>17</v>
      </c>
      <c r="T26" s="18">
        <v>18</v>
      </c>
      <c r="U26" s="18">
        <v>19</v>
      </c>
      <c r="V26" s="18">
        <v>20</v>
      </c>
      <c r="W26" s="18">
        <v>21</v>
      </c>
      <c r="X26" s="18">
        <v>22</v>
      </c>
      <c r="Y26" s="18">
        <v>23</v>
      </c>
      <c r="Z26" s="18">
        <v>24</v>
      </c>
      <c r="AA26" s="18">
        <v>25</v>
      </c>
      <c r="AB26" s="18">
        <v>26</v>
      </c>
      <c r="AC26" s="18">
        <v>27</v>
      </c>
      <c r="AD26" s="18">
        <v>28</v>
      </c>
      <c r="AE26" s="18">
        <v>29</v>
      </c>
      <c r="AF26" s="18">
        <v>30</v>
      </c>
      <c r="AG26" s="18">
        <v>31</v>
      </c>
      <c r="AH26" s="18" t="s">
        <v>13</v>
      </c>
    </row>
    <row r="27" spans="2:34" x14ac:dyDescent="0.25">
      <c r="B27" s="16" t="s">
        <v>16</v>
      </c>
      <c r="C27" s="22">
        <v>74</v>
      </c>
      <c r="D27" s="22">
        <v>70</v>
      </c>
      <c r="E27" s="22">
        <v>55</v>
      </c>
      <c r="F27" s="22"/>
      <c r="G27" s="22">
        <v>68</v>
      </c>
      <c r="H27" s="22">
        <v>73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18">
        <v>3</v>
      </c>
    </row>
    <row r="28" spans="2:34" x14ac:dyDescent="0.25">
      <c r="B28" s="16" t="s">
        <v>19</v>
      </c>
      <c r="C28" s="16">
        <f t="shared" ref="C28:AG28" si="8">$AH27*C27</f>
        <v>222</v>
      </c>
      <c r="D28" s="16">
        <f t="shared" si="8"/>
        <v>210</v>
      </c>
      <c r="E28" s="16">
        <f t="shared" si="8"/>
        <v>165</v>
      </c>
      <c r="F28" s="16">
        <f t="shared" si="8"/>
        <v>0</v>
      </c>
      <c r="G28" s="16">
        <f t="shared" si="8"/>
        <v>204</v>
      </c>
      <c r="H28" s="16">
        <f t="shared" si="8"/>
        <v>219</v>
      </c>
      <c r="I28" s="16">
        <f t="shared" si="8"/>
        <v>0</v>
      </c>
      <c r="J28" s="16">
        <f t="shared" si="8"/>
        <v>0</v>
      </c>
      <c r="K28" s="16">
        <f t="shared" si="8"/>
        <v>0</v>
      </c>
      <c r="L28" s="16">
        <f t="shared" si="8"/>
        <v>0</v>
      </c>
      <c r="M28" s="16">
        <f t="shared" si="8"/>
        <v>0</v>
      </c>
      <c r="N28" s="16">
        <f t="shared" si="8"/>
        <v>0</v>
      </c>
      <c r="O28" s="16">
        <f t="shared" si="8"/>
        <v>0</v>
      </c>
      <c r="P28" s="16">
        <f t="shared" si="8"/>
        <v>0</v>
      </c>
      <c r="Q28" s="16">
        <f t="shared" si="8"/>
        <v>0</v>
      </c>
      <c r="R28" s="16">
        <f t="shared" si="8"/>
        <v>0</v>
      </c>
      <c r="S28" s="16">
        <f t="shared" si="8"/>
        <v>0</v>
      </c>
      <c r="T28" s="16">
        <f t="shared" si="8"/>
        <v>0</v>
      </c>
      <c r="U28" s="16">
        <f t="shared" si="8"/>
        <v>0</v>
      </c>
      <c r="V28" s="16">
        <f t="shared" si="8"/>
        <v>0</v>
      </c>
      <c r="W28" s="16">
        <f t="shared" si="8"/>
        <v>0</v>
      </c>
      <c r="X28" s="16">
        <f t="shared" si="8"/>
        <v>0</v>
      </c>
      <c r="Y28" s="16">
        <f t="shared" si="8"/>
        <v>0</v>
      </c>
      <c r="Z28" s="16">
        <f t="shared" si="8"/>
        <v>0</v>
      </c>
      <c r="AA28" s="16">
        <f t="shared" si="8"/>
        <v>0</v>
      </c>
      <c r="AB28" s="16">
        <f t="shared" si="8"/>
        <v>0</v>
      </c>
      <c r="AC28" s="16">
        <f t="shared" si="8"/>
        <v>0</v>
      </c>
      <c r="AD28" s="16">
        <f t="shared" si="8"/>
        <v>0</v>
      </c>
      <c r="AE28" s="16">
        <f t="shared" si="8"/>
        <v>0</v>
      </c>
      <c r="AF28" s="16">
        <f t="shared" si="8"/>
        <v>0</v>
      </c>
      <c r="AG28" s="16">
        <f t="shared" si="8"/>
        <v>0</v>
      </c>
      <c r="AH28" s="18"/>
    </row>
    <row r="29" spans="2:34" x14ac:dyDescent="0.25">
      <c r="B29" s="16" t="s">
        <v>20</v>
      </c>
      <c r="C29" s="22">
        <v>108</v>
      </c>
      <c r="D29" s="22">
        <v>99</v>
      </c>
      <c r="E29" s="22">
        <v>84</v>
      </c>
      <c r="F29" s="22"/>
      <c r="G29" s="22">
        <v>106</v>
      </c>
      <c r="H29" s="22">
        <v>107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18">
        <v>5</v>
      </c>
    </row>
    <row r="30" spans="2:34" x14ac:dyDescent="0.25">
      <c r="B30" s="16" t="s">
        <v>19</v>
      </c>
      <c r="C30" s="16">
        <f t="shared" ref="C30:AG30" si="9">$AH29*C29</f>
        <v>540</v>
      </c>
      <c r="D30" s="16">
        <f t="shared" si="9"/>
        <v>495</v>
      </c>
      <c r="E30" s="16">
        <f t="shared" si="9"/>
        <v>420</v>
      </c>
      <c r="F30" s="16">
        <f t="shared" si="9"/>
        <v>0</v>
      </c>
      <c r="G30" s="16">
        <f t="shared" si="9"/>
        <v>530</v>
      </c>
      <c r="H30" s="16">
        <f t="shared" si="9"/>
        <v>535</v>
      </c>
      <c r="I30" s="16">
        <f t="shared" si="9"/>
        <v>0</v>
      </c>
      <c r="J30" s="16">
        <f t="shared" si="9"/>
        <v>0</v>
      </c>
      <c r="K30" s="16">
        <f t="shared" si="9"/>
        <v>0</v>
      </c>
      <c r="L30" s="16">
        <f t="shared" si="9"/>
        <v>0</v>
      </c>
      <c r="M30" s="16">
        <f t="shared" si="9"/>
        <v>0</v>
      </c>
      <c r="N30" s="16">
        <f t="shared" si="9"/>
        <v>0</v>
      </c>
      <c r="O30" s="16">
        <f t="shared" si="9"/>
        <v>0</v>
      </c>
      <c r="P30" s="16">
        <f t="shared" si="9"/>
        <v>0</v>
      </c>
      <c r="Q30" s="16">
        <f t="shared" si="9"/>
        <v>0</v>
      </c>
      <c r="R30" s="16">
        <f t="shared" si="9"/>
        <v>0</v>
      </c>
      <c r="S30" s="16">
        <f t="shared" si="9"/>
        <v>0</v>
      </c>
      <c r="T30" s="16">
        <f t="shared" si="9"/>
        <v>0</v>
      </c>
      <c r="U30" s="16">
        <f t="shared" si="9"/>
        <v>0</v>
      </c>
      <c r="V30" s="16">
        <f t="shared" si="9"/>
        <v>0</v>
      </c>
      <c r="W30" s="16">
        <f t="shared" si="9"/>
        <v>0</v>
      </c>
      <c r="X30" s="16">
        <f t="shared" si="9"/>
        <v>0</v>
      </c>
      <c r="Y30" s="16">
        <f t="shared" si="9"/>
        <v>0</v>
      </c>
      <c r="Z30" s="16">
        <f t="shared" si="9"/>
        <v>0</v>
      </c>
      <c r="AA30" s="16">
        <f t="shared" si="9"/>
        <v>0</v>
      </c>
      <c r="AB30" s="16">
        <f t="shared" si="9"/>
        <v>0</v>
      </c>
      <c r="AC30" s="16">
        <f t="shared" si="9"/>
        <v>0</v>
      </c>
      <c r="AD30" s="16">
        <f t="shared" si="9"/>
        <v>0</v>
      </c>
      <c r="AE30" s="16">
        <f t="shared" si="9"/>
        <v>0</v>
      </c>
      <c r="AF30" s="16">
        <f t="shared" si="9"/>
        <v>0</v>
      </c>
      <c r="AG30" s="16">
        <f t="shared" si="9"/>
        <v>0</v>
      </c>
      <c r="AH30" s="18"/>
    </row>
    <row r="31" spans="2:34" x14ac:dyDescent="0.25">
      <c r="B31" s="16" t="s">
        <v>30</v>
      </c>
      <c r="C31" s="22">
        <v>175</v>
      </c>
      <c r="D31" s="22">
        <v>170</v>
      </c>
      <c r="E31" s="22">
        <v>136</v>
      </c>
      <c r="F31" s="22"/>
      <c r="G31" s="22">
        <v>183</v>
      </c>
      <c r="H31" s="22">
        <v>177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18">
        <v>3</v>
      </c>
    </row>
    <row r="32" spans="2:34" x14ac:dyDescent="0.25">
      <c r="B32" s="16" t="s">
        <v>19</v>
      </c>
      <c r="C32" s="16">
        <f t="shared" ref="C32:AG32" si="10">$AH31*C31</f>
        <v>525</v>
      </c>
      <c r="D32" s="16">
        <f t="shared" si="10"/>
        <v>510</v>
      </c>
      <c r="E32" s="16">
        <f t="shared" si="10"/>
        <v>408</v>
      </c>
      <c r="F32" s="16">
        <f t="shared" si="10"/>
        <v>0</v>
      </c>
      <c r="G32" s="16">
        <f t="shared" si="10"/>
        <v>549</v>
      </c>
      <c r="H32" s="16">
        <f t="shared" si="10"/>
        <v>531</v>
      </c>
      <c r="I32" s="16">
        <f t="shared" si="10"/>
        <v>0</v>
      </c>
      <c r="J32" s="16">
        <f t="shared" si="10"/>
        <v>0</v>
      </c>
      <c r="K32" s="16">
        <f t="shared" si="10"/>
        <v>0</v>
      </c>
      <c r="L32" s="16">
        <f t="shared" si="10"/>
        <v>0</v>
      </c>
      <c r="M32" s="16">
        <f t="shared" si="10"/>
        <v>0</v>
      </c>
      <c r="N32" s="16">
        <f t="shared" si="10"/>
        <v>0</v>
      </c>
      <c r="O32" s="16">
        <f t="shared" si="10"/>
        <v>0</v>
      </c>
      <c r="P32" s="16">
        <f t="shared" si="10"/>
        <v>0</v>
      </c>
      <c r="Q32" s="16">
        <f t="shared" si="10"/>
        <v>0</v>
      </c>
      <c r="R32" s="16">
        <f t="shared" si="10"/>
        <v>0</v>
      </c>
      <c r="S32" s="16">
        <f t="shared" si="10"/>
        <v>0</v>
      </c>
      <c r="T32" s="16">
        <f t="shared" si="10"/>
        <v>0</v>
      </c>
      <c r="U32" s="16">
        <f t="shared" si="10"/>
        <v>0</v>
      </c>
      <c r="V32" s="16">
        <f t="shared" si="10"/>
        <v>0</v>
      </c>
      <c r="W32" s="16">
        <f t="shared" si="10"/>
        <v>0</v>
      </c>
      <c r="X32" s="16">
        <f t="shared" si="10"/>
        <v>0</v>
      </c>
      <c r="Y32" s="16">
        <f t="shared" si="10"/>
        <v>0</v>
      </c>
      <c r="Z32" s="16">
        <f t="shared" si="10"/>
        <v>0</v>
      </c>
      <c r="AA32" s="16">
        <f t="shared" si="10"/>
        <v>0</v>
      </c>
      <c r="AB32" s="16">
        <f t="shared" si="10"/>
        <v>0</v>
      </c>
      <c r="AC32" s="16">
        <f t="shared" si="10"/>
        <v>0</v>
      </c>
      <c r="AD32" s="16">
        <f t="shared" si="10"/>
        <v>0</v>
      </c>
      <c r="AE32" s="16">
        <f t="shared" si="10"/>
        <v>0</v>
      </c>
      <c r="AF32" s="16">
        <f t="shared" si="10"/>
        <v>0</v>
      </c>
      <c r="AG32" s="16">
        <f t="shared" si="10"/>
        <v>0</v>
      </c>
      <c r="AH32" s="18"/>
    </row>
    <row r="33" spans="2:34" x14ac:dyDescent="0.25">
      <c r="B33" s="16" t="s">
        <v>22</v>
      </c>
      <c r="C33" s="22">
        <v>1</v>
      </c>
      <c r="D33" s="22">
        <v>0</v>
      </c>
      <c r="E33" s="22">
        <v>1</v>
      </c>
      <c r="F33" s="22"/>
      <c r="G33" s="22">
        <v>2</v>
      </c>
      <c r="H33" s="22">
        <f>VLOOKUP(B33,'[1]Assy Out'!$C$312:$P$344,14,0)</f>
        <v>0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18">
        <v>3</v>
      </c>
    </row>
    <row r="34" spans="2:34" x14ac:dyDescent="0.25">
      <c r="B34" s="16" t="s">
        <v>19</v>
      </c>
      <c r="C34" s="16">
        <f t="shared" ref="C34:AG34" si="11">$AH33*C33</f>
        <v>3</v>
      </c>
      <c r="D34" s="16">
        <f t="shared" si="11"/>
        <v>0</v>
      </c>
      <c r="E34" s="16">
        <f t="shared" si="11"/>
        <v>3</v>
      </c>
      <c r="F34" s="16">
        <f t="shared" si="11"/>
        <v>0</v>
      </c>
      <c r="G34" s="16">
        <f t="shared" si="11"/>
        <v>6</v>
      </c>
      <c r="H34" s="16">
        <f t="shared" si="11"/>
        <v>0</v>
      </c>
      <c r="I34" s="16">
        <f t="shared" si="11"/>
        <v>0</v>
      </c>
      <c r="J34" s="16">
        <f t="shared" si="11"/>
        <v>0</v>
      </c>
      <c r="K34" s="16">
        <f t="shared" si="11"/>
        <v>0</v>
      </c>
      <c r="L34" s="16">
        <f t="shared" si="11"/>
        <v>0</v>
      </c>
      <c r="M34" s="16">
        <f t="shared" si="11"/>
        <v>0</v>
      </c>
      <c r="N34" s="16">
        <f t="shared" si="11"/>
        <v>0</v>
      </c>
      <c r="O34" s="16">
        <f t="shared" si="11"/>
        <v>0</v>
      </c>
      <c r="P34" s="16">
        <f t="shared" si="11"/>
        <v>0</v>
      </c>
      <c r="Q34" s="16">
        <f t="shared" si="11"/>
        <v>0</v>
      </c>
      <c r="R34" s="16">
        <f t="shared" si="11"/>
        <v>0</v>
      </c>
      <c r="S34" s="16">
        <f t="shared" si="11"/>
        <v>0</v>
      </c>
      <c r="T34" s="16">
        <f t="shared" si="11"/>
        <v>0</v>
      </c>
      <c r="U34" s="16">
        <f t="shared" si="11"/>
        <v>0</v>
      </c>
      <c r="V34" s="16">
        <f t="shared" si="11"/>
        <v>0</v>
      </c>
      <c r="W34" s="16">
        <f t="shared" si="11"/>
        <v>0</v>
      </c>
      <c r="X34" s="16">
        <f t="shared" si="11"/>
        <v>0</v>
      </c>
      <c r="Y34" s="16">
        <f t="shared" si="11"/>
        <v>0</v>
      </c>
      <c r="Z34" s="16">
        <f t="shared" si="11"/>
        <v>0</v>
      </c>
      <c r="AA34" s="16">
        <f t="shared" si="11"/>
        <v>0</v>
      </c>
      <c r="AB34" s="16">
        <f t="shared" si="11"/>
        <v>0</v>
      </c>
      <c r="AC34" s="16">
        <f t="shared" si="11"/>
        <v>0</v>
      </c>
      <c r="AD34" s="16">
        <f t="shared" si="11"/>
        <v>0</v>
      </c>
      <c r="AE34" s="16">
        <f t="shared" si="11"/>
        <v>0</v>
      </c>
      <c r="AF34" s="16">
        <f t="shared" si="11"/>
        <v>0</v>
      </c>
      <c r="AG34" s="16">
        <f t="shared" si="11"/>
        <v>0</v>
      </c>
      <c r="AH34" s="18"/>
    </row>
    <row r="35" spans="2:34" x14ac:dyDescent="0.25">
      <c r="B35" s="16" t="s">
        <v>23</v>
      </c>
      <c r="C35" s="22">
        <v>21</v>
      </c>
      <c r="D35" s="22">
        <v>20</v>
      </c>
      <c r="E35" s="22">
        <v>15</v>
      </c>
      <c r="F35" s="22"/>
      <c r="G35" s="22">
        <v>20</v>
      </c>
      <c r="H35" s="22">
        <v>22</v>
      </c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18">
        <v>5</v>
      </c>
    </row>
    <row r="36" spans="2:34" x14ac:dyDescent="0.25">
      <c r="B36" s="18"/>
      <c r="C36" s="16">
        <f t="shared" ref="C36:AG36" si="12">$AH35*C35</f>
        <v>105</v>
      </c>
      <c r="D36" s="16">
        <f t="shared" si="12"/>
        <v>100</v>
      </c>
      <c r="E36" s="16">
        <f t="shared" si="12"/>
        <v>75</v>
      </c>
      <c r="F36" s="16">
        <f t="shared" si="12"/>
        <v>0</v>
      </c>
      <c r="G36" s="16">
        <f t="shared" si="12"/>
        <v>100</v>
      </c>
      <c r="H36" s="16">
        <f t="shared" si="12"/>
        <v>110</v>
      </c>
      <c r="I36" s="16">
        <f t="shared" si="12"/>
        <v>0</v>
      </c>
      <c r="J36" s="16">
        <f t="shared" si="12"/>
        <v>0</v>
      </c>
      <c r="K36" s="16">
        <f t="shared" si="12"/>
        <v>0</v>
      </c>
      <c r="L36" s="16">
        <f t="shared" si="12"/>
        <v>0</v>
      </c>
      <c r="M36" s="16">
        <f t="shared" si="12"/>
        <v>0</v>
      </c>
      <c r="N36" s="16">
        <f t="shared" si="12"/>
        <v>0</v>
      </c>
      <c r="O36" s="16">
        <f t="shared" si="12"/>
        <v>0</v>
      </c>
      <c r="P36" s="16">
        <f t="shared" si="12"/>
        <v>0</v>
      </c>
      <c r="Q36" s="16">
        <f t="shared" si="12"/>
        <v>0</v>
      </c>
      <c r="R36" s="16">
        <f t="shared" si="12"/>
        <v>0</v>
      </c>
      <c r="S36" s="16">
        <f t="shared" si="12"/>
        <v>0</v>
      </c>
      <c r="T36" s="16">
        <f t="shared" si="12"/>
        <v>0</v>
      </c>
      <c r="U36" s="18">
        <f t="shared" si="12"/>
        <v>0</v>
      </c>
      <c r="V36" s="18">
        <f t="shared" si="12"/>
        <v>0</v>
      </c>
      <c r="W36" s="18">
        <f t="shared" si="12"/>
        <v>0</v>
      </c>
      <c r="X36" s="18">
        <f t="shared" si="12"/>
        <v>0</v>
      </c>
      <c r="Y36" s="18">
        <f t="shared" si="12"/>
        <v>0</v>
      </c>
      <c r="Z36" s="18">
        <f t="shared" si="12"/>
        <v>0</v>
      </c>
      <c r="AA36" s="18">
        <f t="shared" si="12"/>
        <v>0</v>
      </c>
      <c r="AB36" s="18">
        <f t="shared" si="12"/>
        <v>0</v>
      </c>
      <c r="AC36" s="18">
        <f t="shared" si="12"/>
        <v>0</v>
      </c>
      <c r="AD36" s="18">
        <f t="shared" si="12"/>
        <v>0</v>
      </c>
      <c r="AE36" s="18">
        <f t="shared" si="12"/>
        <v>0</v>
      </c>
      <c r="AF36" s="18">
        <f t="shared" si="12"/>
        <v>0</v>
      </c>
      <c r="AG36" s="18">
        <f t="shared" si="12"/>
        <v>0</v>
      </c>
      <c r="AH36" s="18"/>
    </row>
    <row r="38" spans="2:34" x14ac:dyDescent="0.25">
      <c r="B38" s="3" t="s">
        <v>24</v>
      </c>
      <c r="C38" s="3">
        <v>1</v>
      </c>
      <c r="D38" s="3">
        <v>2</v>
      </c>
      <c r="E38" s="3">
        <v>3</v>
      </c>
      <c r="F38" s="3">
        <v>4</v>
      </c>
      <c r="G38" s="3">
        <v>5</v>
      </c>
      <c r="H38" s="3">
        <v>6</v>
      </c>
      <c r="I38" s="3">
        <v>7</v>
      </c>
      <c r="J38" s="3">
        <v>8</v>
      </c>
      <c r="K38" s="3">
        <v>9</v>
      </c>
      <c r="L38" s="3">
        <v>10</v>
      </c>
      <c r="M38" s="3">
        <v>11</v>
      </c>
      <c r="N38" s="3">
        <v>12</v>
      </c>
      <c r="O38" s="3">
        <v>13</v>
      </c>
      <c r="P38" s="3">
        <v>14</v>
      </c>
      <c r="Q38" s="3">
        <v>15</v>
      </c>
      <c r="R38" s="3">
        <v>16</v>
      </c>
      <c r="S38" s="3">
        <v>17</v>
      </c>
      <c r="T38" s="3">
        <v>18</v>
      </c>
      <c r="U38" s="3">
        <v>19</v>
      </c>
      <c r="V38" s="3">
        <v>20</v>
      </c>
      <c r="W38" s="3">
        <v>21</v>
      </c>
      <c r="X38" s="3">
        <v>22</v>
      </c>
      <c r="Y38" s="3">
        <v>23</v>
      </c>
      <c r="Z38" s="3">
        <v>24</v>
      </c>
      <c r="AA38" s="3">
        <v>25</v>
      </c>
      <c r="AB38" s="3">
        <v>26</v>
      </c>
      <c r="AC38" s="3">
        <v>27</v>
      </c>
      <c r="AD38" s="3">
        <v>28</v>
      </c>
      <c r="AE38" s="3">
        <v>29</v>
      </c>
      <c r="AF38" s="3">
        <v>30</v>
      </c>
      <c r="AG38" s="3">
        <v>31</v>
      </c>
      <c r="AH38" s="3" t="s">
        <v>15</v>
      </c>
    </row>
    <row r="39" spans="2:34" x14ac:dyDescent="0.25">
      <c r="B39" s="19" t="s">
        <v>25</v>
      </c>
      <c r="C39" s="3">
        <f>C28+C30+C32+C34+C36</f>
        <v>1395</v>
      </c>
      <c r="D39" s="3">
        <f t="shared" ref="D39:R39" si="13">D28+D30+D32+D34+D36</f>
        <v>1315</v>
      </c>
      <c r="E39" s="3">
        <f t="shared" si="13"/>
        <v>1071</v>
      </c>
      <c r="F39" s="3">
        <f t="shared" si="13"/>
        <v>0</v>
      </c>
      <c r="G39" s="3">
        <f t="shared" si="13"/>
        <v>1389</v>
      </c>
      <c r="H39" s="3">
        <f t="shared" si="13"/>
        <v>1395</v>
      </c>
      <c r="I39" s="3">
        <f t="shared" si="13"/>
        <v>0</v>
      </c>
      <c r="J39" s="3">
        <f t="shared" si="13"/>
        <v>0</v>
      </c>
      <c r="K39" s="3">
        <f t="shared" si="13"/>
        <v>0</v>
      </c>
      <c r="L39" s="3">
        <f t="shared" si="13"/>
        <v>0</v>
      </c>
      <c r="M39" s="3">
        <f t="shared" si="13"/>
        <v>0</v>
      </c>
      <c r="N39" s="3">
        <f t="shared" si="13"/>
        <v>0</v>
      </c>
      <c r="O39" s="3">
        <f t="shared" si="13"/>
        <v>0</v>
      </c>
      <c r="P39" s="3">
        <f t="shared" si="13"/>
        <v>0</v>
      </c>
      <c r="Q39" s="3">
        <f t="shared" si="13"/>
        <v>0</v>
      </c>
      <c r="R39" s="3">
        <f t="shared" si="13"/>
        <v>0</v>
      </c>
      <c r="S39" s="3">
        <f>S28+S30+S32+S34+S36</f>
        <v>0</v>
      </c>
      <c r="T39" s="3">
        <f>T28+T30+T32+T34+T36</f>
        <v>0</v>
      </c>
      <c r="U39" s="3">
        <f t="shared" ref="U39:Y39" si="14">U28+U30+U32+U34+U36</f>
        <v>0</v>
      </c>
      <c r="V39" s="3">
        <f t="shared" si="14"/>
        <v>0</v>
      </c>
      <c r="W39" s="3">
        <f t="shared" si="14"/>
        <v>0</v>
      </c>
      <c r="X39" s="3">
        <f>X28+X30+X32+X34+X36</f>
        <v>0</v>
      </c>
      <c r="Y39" s="3">
        <f t="shared" si="14"/>
        <v>0</v>
      </c>
      <c r="Z39" s="3">
        <f>Z28+Z30+Z32+Z34+Z36</f>
        <v>0</v>
      </c>
      <c r="AA39" s="3">
        <f>AA28+AA30+AA32+AA34+AA36</f>
        <v>0</v>
      </c>
      <c r="AB39" s="3">
        <f>AB28+AB30+AB32+AB34+AB36</f>
        <v>0</v>
      </c>
      <c r="AC39" s="3">
        <f t="shared" ref="AC39:AG39" si="15">AC28+AC30+AC32+AC34+AC36</f>
        <v>0</v>
      </c>
      <c r="AD39" s="3">
        <f t="shared" si="15"/>
        <v>0</v>
      </c>
      <c r="AE39" s="3">
        <f>AE28+AE30+AE32+AE34+AE36</f>
        <v>0</v>
      </c>
      <c r="AF39" s="3">
        <f t="shared" si="15"/>
        <v>0</v>
      </c>
      <c r="AG39" s="3">
        <f t="shared" si="15"/>
        <v>0</v>
      </c>
      <c r="AH39" s="3">
        <f>SUM(S39:AG39)</f>
        <v>0</v>
      </c>
    </row>
    <row r="40" spans="2:34" x14ac:dyDescent="0.25">
      <c r="B40" s="19" t="s">
        <v>26</v>
      </c>
      <c r="C40" s="19">
        <v>1378</v>
      </c>
      <c r="D40" s="19">
        <v>1297</v>
      </c>
      <c r="E40" s="19">
        <v>1055</v>
      </c>
      <c r="F40" s="19"/>
      <c r="G40" s="19">
        <v>1378</v>
      </c>
      <c r="H40" s="19">
        <v>1377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>
        <f>SUM(S40:AG40)</f>
        <v>0</v>
      </c>
    </row>
    <row r="42" spans="2:34" x14ac:dyDescent="0.25">
      <c r="B42" s="20" t="s">
        <v>31</v>
      </c>
      <c r="C42" s="3" t="s">
        <v>3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28</v>
      </c>
    </row>
    <row r="43" spans="2:34" x14ac:dyDescent="0.25">
      <c r="B43" s="20"/>
      <c r="C43" s="3">
        <f t="shared" ref="C43:AG43" si="16">C40-C39</f>
        <v>-17</v>
      </c>
      <c r="D43" s="3">
        <f t="shared" si="16"/>
        <v>-18</v>
      </c>
      <c r="E43" s="3">
        <f t="shared" si="16"/>
        <v>-16</v>
      </c>
      <c r="F43" s="3">
        <f t="shared" si="16"/>
        <v>0</v>
      </c>
      <c r="G43" s="3">
        <f t="shared" si="16"/>
        <v>-11</v>
      </c>
      <c r="H43" s="3">
        <f t="shared" si="16"/>
        <v>-18</v>
      </c>
      <c r="I43" s="3">
        <f t="shared" si="16"/>
        <v>0</v>
      </c>
      <c r="J43" s="3">
        <f t="shared" si="16"/>
        <v>0</v>
      </c>
      <c r="K43" s="3">
        <f t="shared" si="16"/>
        <v>0</v>
      </c>
      <c r="L43" s="3">
        <f t="shared" si="16"/>
        <v>0</v>
      </c>
      <c r="M43" s="3">
        <f t="shared" si="16"/>
        <v>0</v>
      </c>
      <c r="N43" s="3">
        <f t="shared" si="16"/>
        <v>0</v>
      </c>
      <c r="O43" s="3">
        <f t="shared" si="16"/>
        <v>0</v>
      </c>
      <c r="P43" s="3">
        <f t="shared" si="16"/>
        <v>0</v>
      </c>
      <c r="Q43" s="3">
        <f t="shared" si="16"/>
        <v>0</v>
      </c>
      <c r="R43" s="3">
        <f t="shared" si="16"/>
        <v>0</v>
      </c>
      <c r="S43" s="3">
        <f t="shared" si="16"/>
        <v>0</v>
      </c>
      <c r="T43" s="3">
        <f t="shared" si="16"/>
        <v>0</v>
      </c>
      <c r="U43" s="3">
        <f t="shared" si="16"/>
        <v>0</v>
      </c>
      <c r="V43" s="3">
        <f t="shared" si="16"/>
        <v>0</v>
      </c>
      <c r="W43" s="3">
        <f t="shared" si="16"/>
        <v>0</v>
      </c>
      <c r="X43" s="3">
        <f t="shared" si="16"/>
        <v>0</v>
      </c>
      <c r="Y43" s="3">
        <f t="shared" si="16"/>
        <v>0</v>
      </c>
      <c r="Z43" s="3">
        <f t="shared" si="16"/>
        <v>0</v>
      </c>
      <c r="AA43" s="3">
        <f t="shared" si="16"/>
        <v>0</v>
      </c>
      <c r="AB43" s="3">
        <f t="shared" si="16"/>
        <v>0</v>
      </c>
      <c r="AC43" s="3">
        <f t="shared" si="16"/>
        <v>0</v>
      </c>
      <c r="AD43" s="3">
        <f t="shared" si="16"/>
        <v>0</v>
      </c>
      <c r="AE43" s="3">
        <f t="shared" si="16"/>
        <v>0</v>
      </c>
      <c r="AF43" s="3">
        <f t="shared" si="16"/>
        <v>0</v>
      </c>
      <c r="AG43" s="3">
        <f t="shared" si="16"/>
        <v>0</v>
      </c>
      <c r="AH43" s="3">
        <f>AH40-AH39</f>
        <v>0</v>
      </c>
    </row>
  </sheetData>
  <mergeCells count="3">
    <mergeCell ref="AK2:AL2"/>
    <mergeCell ref="B22:B23"/>
    <mergeCell ref="B42:B43"/>
  </mergeCells>
  <conditionalFormatting sqref="C23:AH23">
    <cfRule type="cellIs" dxfId="29" priority="4" operator="equal">
      <formula>0</formula>
    </cfRule>
    <cfRule type="cellIs" dxfId="28" priority="5" operator="greaterThan">
      <formula>0</formula>
    </cfRule>
    <cfRule type="cellIs" dxfId="27" priority="6" operator="lessThan">
      <formula>0</formula>
    </cfRule>
  </conditionalFormatting>
  <conditionalFormatting sqref="C43:AH43">
    <cfRule type="cellIs" dxfId="26" priority="1" operator="equal">
      <formula>0</formula>
    </cfRule>
    <cfRule type="cellIs" dxfId="25" priority="2" operator="greaterThan">
      <formula>0</formula>
    </cfRule>
    <cfRule type="cellIs" dxfId="24" priority="3" operator="lessThan">
      <formula>0</formula>
    </cfRule>
  </conditionalFormatting>
  <conditionalFormatting sqref="S5 S13 S11 S9 T10 S7">
    <cfRule type="duplicateValues" dxfId="23" priority="29"/>
    <cfRule type="duplicateValues" dxfId="22" priority="30"/>
  </conditionalFormatting>
  <conditionalFormatting sqref="S5">
    <cfRule type="duplicateValues" dxfId="21" priority="15"/>
    <cfRule type="duplicateValues" dxfId="20" priority="16"/>
  </conditionalFormatting>
  <conditionalFormatting sqref="S7">
    <cfRule type="duplicateValues" dxfId="19" priority="13"/>
    <cfRule type="duplicateValues" dxfId="18" priority="14"/>
  </conditionalFormatting>
  <conditionalFormatting sqref="S9">
    <cfRule type="duplicateValues" dxfId="17" priority="11"/>
    <cfRule type="duplicateValues" dxfId="16" priority="12"/>
  </conditionalFormatting>
  <conditionalFormatting sqref="S11">
    <cfRule type="duplicateValues" dxfId="15" priority="9"/>
    <cfRule type="duplicateValues" dxfId="14" priority="10"/>
  </conditionalFormatting>
  <conditionalFormatting sqref="S13">
    <cfRule type="duplicateValues" dxfId="13" priority="7"/>
    <cfRule type="duplicateValues" dxfId="12" priority="8"/>
  </conditionalFormatting>
  <conditionalFormatting sqref="T5">
    <cfRule type="duplicateValues" dxfId="11" priority="25"/>
    <cfRule type="duplicateValues" dxfId="10" priority="26"/>
  </conditionalFormatting>
  <conditionalFormatting sqref="T7">
    <cfRule type="duplicateValues" dxfId="9" priority="23"/>
    <cfRule type="duplicateValues" dxfId="8" priority="24"/>
  </conditionalFormatting>
  <conditionalFormatting sqref="T9">
    <cfRule type="duplicateValues" dxfId="7" priority="21"/>
    <cfRule type="duplicateValues" dxfId="6" priority="22"/>
  </conditionalFormatting>
  <conditionalFormatting sqref="T11">
    <cfRule type="duplicateValues" dxfId="5" priority="19"/>
    <cfRule type="duplicateValues" dxfId="4" priority="20"/>
  </conditionalFormatting>
  <conditionalFormatting sqref="T13">
    <cfRule type="duplicateValues" dxfId="3" priority="17"/>
    <cfRule type="duplicateValues" dxfId="2" priority="18"/>
  </conditionalFormatting>
  <conditionalFormatting sqref="AJ2:AK2">
    <cfRule type="duplicateValues" dxfId="1" priority="27"/>
    <cfRule type="duplicateValues" dxfId="0" priority="28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9516E-A861-456A-9AC5-5D00BB479607}">
  <dimension ref="A1:AF22"/>
  <sheetViews>
    <sheetView tabSelected="1" workbookViewId="0">
      <selection activeCell="A23" sqref="A23"/>
    </sheetView>
  </sheetViews>
  <sheetFormatPr defaultRowHeight="15" x14ac:dyDescent="0.25"/>
  <cols>
    <col min="1" max="1" width="18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32" x14ac:dyDescent="0.25">
      <c r="A2" s="1" t="s">
        <v>4</v>
      </c>
      <c r="B2" s="1">
        <v>22358</v>
      </c>
      <c r="C2" s="2">
        <v>65285</v>
      </c>
      <c r="D2" s="2">
        <f>B4-C2</f>
        <v>-23343</v>
      </c>
    </row>
    <row r="3" spans="1:32" x14ac:dyDescent="0.25">
      <c r="A3" s="1" t="s">
        <v>5</v>
      </c>
      <c r="B3" s="1">
        <v>19584</v>
      </c>
      <c r="C3" s="2"/>
      <c r="D3" s="2"/>
    </row>
    <row r="4" spans="1:32" x14ac:dyDescent="0.25">
      <c r="B4">
        <f>SUM(B2:B3)</f>
        <v>41942</v>
      </c>
    </row>
    <row r="6" spans="1:32" x14ac:dyDescent="0.25">
      <c r="A6" s="3" t="s">
        <v>6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4">
        <v>15</v>
      </c>
      <c r="Q6" s="3">
        <v>16</v>
      </c>
      <c r="R6" s="5">
        <v>17</v>
      </c>
      <c r="S6" s="3">
        <v>18</v>
      </c>
      <c r="T6" s="6">
        <v>19</v>
      </c>
      <c r="U6" s="6">
        <v>20</v>
      </c>
      <c r="V6" s="3">
        <v>21</v>
      </c>
      <c r="W6" s="5">
        <v>22</v>
      </c>
      <c r="X6" s="4">
        <v>23</v>
      </c>
      <c r="Y6" s="3">
        <v>24</v>
      </c>
      <c r="Z6" s="3">
        <v>25</v>
      </c>
      <c r="AA6" s="6">
        <v>26</v>
      </c>
      <c r="AB6" s="6">
        <v>27</v>
      </c>
      <c r="AC6" s="5">
        <v>28</v>
      </c>
      <c r="AD6" s="3">
        <v>29</v>
      </c>
      <c r="AE6" s="5">
        <v>30</v>
      </c>
    </row>
    <row r="7" spans="1:32" x14ac:dyDescent="0.25">
      <c r="A7" s="3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7"/>
      <c r="N7" s="7"/>
      <c r="O7" s="3">
        <v>22228</v>
      </c>
      <c r="P7" s="3">
        <v>19936</v>
      </c>
      <c r="Q7" s="3">
        <v>17614</v>
      </c>
      <c r="R7" s="3">
        <v>15488</v>
      </c>
      <c r="S7" s="3">
        <v>20488</v>
      </c>
      <c r="T7" s="3">
        <v>17808</v>
      </c>
      <c r="U7" s="3"/>
      <c r="V7" s="3">
        <v>16440</v>
      </c>
      <c r="W7" s="3">
        <v>13802</v>
      </c>
      <c r="X7" s="3">
        <v>18830</v>
      </c>
      <c r="Y7" s="3">
        <v>16922</v>
      </c>
      <c r="Z7" s="3">
        <v>14684</v>
      </c>
      <c r="AA7" s="3">
        <v>12805</v>
      </c>
      <c r="AB7" s="3"/>
      <c r="AC7" s="3">
        <v>9958</v>
      </c>
      <c r="AD7" s="3">
        <v>15254</v>
      </c>
      <c r="AE7" s="3">
        <v>13268</v>
      </c>
    </row>
    <row r="8" spans="1:32" x14ac:dyDescent="0.25">
      <c r="A8" s="3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7"/>
      <c r="N8" s="7"/>
      <c r="O8" s="3"/>
      <c r="P8" s="3"/>
      <c r="Q8" s="3"/>
      <c r="R8" s="3">
        <v>8036</v>
      </c>
      <c r="S8" s="3"/>
      <c r="T8" s="3"/>
      <c r="U8" s="3"/>
      <c r="V8" s="3"/>
      <c r="W8" s="3">
        <v>8004</v>
      </c>
      <c r="X8" s="3"/>
      <c r="Y8" s="3"/>
      <c r="Z8" s="3"/>
      <c r="AA8" s="3"/>
      <c r="AB8" s="3"/>
      <c r="AC8" s="3">
        <v>7856.5</v>
      </c>
      <c r="AD8" s="3"/>
      <c r="AE8" s="3">
        <v>8086.5</v>
      </c>
    </row>
    <row r="9" spans="1:32" x14ac:dyDescent="0.25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7"/>
      <c r="N9" s="7"/>
      <c r="O9" s="3"/>
      <c r="P9" s="3"/>
      <c r="Q9" s="3"/>
      <c r="R9" s="3">
        <v>14482</v>
      </c>
      <c r="S9" s="3"/>
      <c r="T9" s="3"/>
      <c r="U9" s="3"/>
      <c r="V9" s="3"/>
      <c r="W9" s="3">
        <v>12892</v>
      </c>
      <c r="X9" s="3"/>
      <c r="Y9" s="3"/>
      <c r="Z9" s="3"/>
      <c r="AA9" s="3"/>
      <c r="AB9" s="3"/>
      <c r="AC9" s="3">
        <v>9080</v>
      </c>
      <c r="AD9" s="3"/>
      <c r="AE9" s="3">
        <v>12446</v>
      </c>
    </row>
    <row r="10" spans="1:32" x14ac:dyDescent="0.25">
      <c r="A10" s="3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7"/>
      <c r="N10" s="7"/>
      <c r="O10" s="3"/>
      <c r="P10" s="3"/>
      <c r="Q10" s="3"/>
      <c r="R10" s="3">
        <v>21686</v>
      </c>
      <c r="S10" s="3"/>
      <c r="T10" s="3"/>
      <c r="U10" s="3"/>
      <c r="V10" s="3"/>
      <c r="W10" s="3">
        <v>20286</v>
      </c>
      <c r="X10" s="3"/>
      <c r="Y10" s="3"/>
      <c r="Z10" s="3"/>
      <c r="AA10" s="3"/>
      <c r="AB10" s="3"/>
      <c r="AC10" s="3">
        <v>16558</v>
      </c>
      <c r="AD10" s="3"/>
      <c r="AE10" s="3">
        <v>19398</v>
      </c>
    </row>
    <row r="11" spans="1:32" x14ac:dyDescent="0.25">
      <c r="A11" s="3" t="s">
        <v>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7"/>
      <c r="N11" s="7"/>
      <c r="O11" s="3">
        <v>19523.09</v>
      </c>
      <c r="P11" s="3">
        <v>17959.29</v>
      </c>
      <c r="Q11" s="3">
        <v>24110</v>
      </c>
      <c r="R11" s="3">
        <v>23682.79</v>
      </c>
      <c r="S11" s="3">
        <v>22141.75</v>
      </c>
      <c r="T11" s="3">
        <v>20754.54</v>
      </c>
      <c r="U11" s="3"/>
      <c r="V11" s="3">
        <v>19634</v>
      </c>
      <c r="W11" s="3">
        <v>18310</v>
      </c>
      <c r="X11" s="3">
        <v>16679</v>
      </c>
      <c r="Y11" s="3">
        <v>23840.71</v>
      </c>
      <c r="Z11" s="3">
        <v>22553</v>
      </c>
      <c r="AA11" s="3">
        <v>21302.49</v>
      </c>
      <c r="AB11" s="3"/>
      <c r="AC11" s="3">
        <v>19790</v>
      </c>
      <c r="AD11" s="3">
        <v>18782.23</v>
      </c>
      <c r="AE11" s="3">
        <v>17376.62</v>
      </c>
    </row>
    <row r="12" spans="1:32" x14ac:dyDescent="0.25">
      <c r="A12" s="3" t="s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7"/>
      <c r="N12" s="7"/>
      <c r="O12" s="3"/>
      <c r="P12" s="3">
        <v>17378.02</v>
      </c>
      <c r="Q12" s="3"/>
      <c r="R12" s="3"/>
      <c r="S12" s="3"/>
      <c r="T12" s="3"/>
      <c r="U12" s="3"/>
      <c r="V12" s="3"/>
      <c r="W12" s="3"/>
      <c r="X12" s="3">
        <v>16326</v>
      </c>
      <c r="Y12" s="3"/>
      <c r="Z12" s="3"/>
      <c r="AA12" s="3"/>
      <c r="AB12" s="3"/>
      <c r="AC12" s="3"/>
      <c r="AD12" s="3"/>
      <c r="AE12" s="3"/>
    </row>
    <row r="13" spans="1:32" x14ac:dyDescent="0.25">
      <c r="A13" s="3" t="s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7"/>
      <c r="N13" s="7"/>
      <c r="O13" s="3"/>
      <c r="P13" s="3">
        <v>24110</v>
      </c>
      <c r="Q13" s="3"/>
      <c r="R13" s="3"/>
      <c r="S13" s="3"/>
      <c r="T13" s="3"/>
      <c r="U13" s="3"/>
      <c r="V13" s="3"/>
      <c r="W13" s="3"/>
      <c r="X13" s="3">
        <v>24110</v>
      </c>
      <c r="Y13" s="3"/>
      <c r="Z13" s="3"/>
      <c r="AA13" s="3"/>
      <c r="AB13" s="3"/>
      <c r="AC13" s="3"/>
      <c r="AD13" s="3"/>
      <c r="AE13" s="3"/>
    </row>
    <row r="15" spans="1:32" x14ac:dyDescent="0.25">
      <c r="A15" s="3" t="s">
        <v>10</v>
      </c>
      <c r="B15" s="3">
        <v>1</v>
      </c>
      <c r="C15" s="3">
        <v>2</v>
      </c>
      <c r="D15" s="3">
        <v>3</v>
      </c>
      <c r="E15" s="5">
        <v>4</v>
      </c>
      <c r="F15" s="3">
        <v>5</v>
      </c>
      <c r="G15" s="4">
        <v>6</v>
      </c>
      <c r="H15" s="3">
        <v>7</v>
      </c>
      <c r="I15" s="3">
        <v>8</v>
      </c>
      <c r="J15" s="3">
        <v>9</v>
      </c>
      <c r="K15" s="3">
        <v>10</v>
      </c>
      <c r="L15" s="3">
        <v>11</v>
      </c>
      <c r="M15" s="3">
        <v>12</v>
      </c>
      <c r="N15" s="3">
        <v>13</v>
      </c>
      <c r="O15" s="3">
        <v>14</v>
      </c>
      <c r="P15" s="3">
        <v>15</v>
      </c>
      <c r="Q15" s="3">
        <v>16</v>
      </c>
      <c r="R15" s="3">
        <v>17</v>
      </c>
      <c r="S15" s="3">
        <v>18</v>
      </c>
      <c r="T15" s="3">
        <v>19</v>
      </c>
      <c r="U15" s="3">
        <v>20</v>
      </c>
      <c r="V15" s="3">
        <v>21</v>
      </c>
      <c r="W15" s="3">
        <v>22</v>
      </c>
      <c r="X15" s="3">
        <v>23</v>
      </c>
      <c r="Y15" s="3">
        <v>24</v>
      </c>
      <c r="Z15" s="3">
        <v>25</v>
      </c>
      <c r="AA15" s="3">
        <v>26</v>
      </c>
      <c r="AB15" s="3">
        <v>27</v>
      </c>
      <c r="AC15" s="3">
        <v>28</v>
      </c>
      <c r="AD15" s="3">
        <v>29</v>
      </c>
      <c r="AE15" s="3">
        <v>30</v>
      </c>
      <c r="AF15" s="3">
        <v>31</v>
      </c>
    </row>
    <row r="16" spans="1:32" x14ac:dyDescent="0.25">
      <c r="A16" s="3" t="s">
        <v>4</v>
      </c>
      <c r="B16" s="3">
        <v>18136</v>
      </c>
      <c r="C16" s="3">
        <v>16108</v>
      </c>
      <c r="D16" s="3">
        <v>13748</v>
      </c>
      <c r="E16" s="3">
        <v>11288</v>
      </c>
      <c r="F16" s="3"/>
      <c r="G16" s="3">
        <v>16736</v>
      </c>
      <c r="H16" s="3">
        <v>14568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8"/>
    </row>
    <row r="17" spans="1:32" x14ac:dyDescent="0.25">
      <c r="A17" s="3" t="s">
        <v>7</v>
      </c>
      <c r="B17" s="3"/>
      <c r="C17" s="3"/>
      <c r="D17" s="3"/>
      <c r="E17" s="3">
        <v>7763.7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8"/>
    </row>
    <row r="18" spans="1:32" x14ac:dyDescent="0.25">
      <c r="A18" s="3" t="s">
        <v>8</v>
      </c>
      <c r="B18" s="3"/>
      <c r="C18" s="3"/>
      <c r="D18" s="3"/>
      <c r="E18" s="3">
        <v>10460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8"/>
    </row>
    <row r="19" spans="1:32" x14ac:dyDescent="0.25">
      <c r="A19" s="3" t="s">
        <v>9</v>
      </c>
      <c r="B19" s="3"/>
      <c r="C19" s="3"/>
      <c r="D19" s="3"/>
      <c r="E19" s="3">
        <v>17938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8"/>
    </row>
    <row r="20" spans="1:32" x14ac:dyDescent="0.25">
      <c r="A20" s="3" t="s">
        <v>5</v>
      </c>
      <c r="B20" s="3">
        <v>16152.22</v>
      </c>
      <c r="C20" s="3">
        <v>22920.1</v>
      </c>
      <c r="D20" s="3">
        <v>21299.65</v>
      </c>
      <c r="E20" s="3">
        <v>20364.86</v>
      </c>
      <c r="F20" s="3"/>
      <c r="G20" s="3">
        <v>18875.400000000001</v>
      </c>
      <c r="H20" s="3">
        <v>25501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8"/>
    </row>
    <row r="21" spans="1:32" x14ac:dyDescent="0.25">
      <c r="A21" s="3" t="s">
        <v>8</v>
      </c>
      <c r="B21" s="3">
        <v>15142.3</v>
      </c>
      <c r="C21" s="3"/>
      <c r="D21" s="3"/>
      <c r="E21" s="3"/>
      <c r="F21" s="3"/>
      <c r="G21" s="3">
        <v>17933.189999999999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8"/>
    </row>
    <row r="22" spans="1:32" x14ac:dyDescent="0.25">
      <c r="A22" s="3" t="s">
        <v>9</v>
      </c>
      <c r="B22" s="3">
        <v>23773.67</v>
      </c>
      <c r="C22" s="3"/>
      <c r="D22" s="3"/>
      <c r="E22" s="3"/>
      <c r="F22" s="3"/>
      <c r="G22" s="3">
        <v>24110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8"/>
    </row>
  </sheetData>
  <mergeCells count="2">
    <mergeCell ref="C2:C3"/>
    <mergeCell ref="D2:D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2179-55DC-4970-9F38-9F6D1CF41E85}">
  <dimension ref="B2:H21"/>
  <sheetViews>
    <sheetView workbookViewId="0">
      <selection activeCell="I2" sqref="I2"/>
    </sheetView>
  </sheetViews>
  <sheetFormatPr defaultRowHeight="15" x14ac:dyDescent="0.25"/>
  <cols>
    <col min="3" max="3" width="6" bestFit="1" customWidth="1"/>
    <col min="7" max="7" width="39.5703125" bestFit="1" customWidth="1"/>
    <col min="8" max="8" width="9" bestFit="1" customWidth="1"/>
  </cols>
  <sheetData>
    <row r="2" spans="2:8" x14ac:dyDescent="0.25">
      <c r="B2" t="s">
        <v>0</v>
      </c>
      <c r="C2" t="s">
        <v>1</v>
      </c>
      <c r="D2" t="s">
        <v>2</v>
      </c>
      <c r="G2" t="s">
        <v>41</v>
      </c>
      <c r="H2">
        <v>17376.62</v>
      </c>
    </row>
    <row r="3" spans="2:8" x14ac:dyDescent="0.25">
      <c r="B3" t="s">
        <v>4</v>
      </c>
      <c r="C3">
        <v>22358</v>
      </c>
      <c r="D3" s="2">
        <v>65285</v>
      </c>
      <c r="G3" t="s">
        <v>42</v>
      </c>
      <c r="H3">
        <v>1073</v>
      </c>
    </row>
    <row r="4" spans="2:8" x14ac:dyDescent="0.25">
      <c r="B4" t="s">
        <v>5</v>
      </c>
      <c r="C4">
        <v>19584</v>
      </c>
      <c r="D4" s="2"/>
      <c r="G4" t="s">
        <v>43</v>
      </c>
      <c r="H4">
        <f>H2-H3</f>
        <v>16303.619999999999</v>
      </c>
    </row>
    <row r="5" spans="2:8" x14ac:dyDescent="0.25">
      <c r="C5">
        <f>SUM(C3:C4)</f>
        <v>41942</v>
      </c>
    </row>
    <row r="6" spans="2:8" x14ac:dyDescent="0.25">
      <c r="G6" t="s">
        <v>44</v>
      </c>
      <c r="H6">
        <v>16152.22</v>
      </c>
    </row>
    <row r="8" spans="2:8" x14ac:dyDescent="0.25">
      <c r="G8" s="24" t="s">
        <v>45</v>
      </c>
      <c r="H8" s="25">
        <f>H6-H4</f>
        <v>-151.39999999999964</v>
      </c>
    </row>
    <row r="9" spans="2:8" x14ac:dyDescent="0.25">
      <c r="G9" t="s">
        <v>46</v>
      </c>
      <c r="H9" s="1"/>
    </row>
    <row r="10" spans="2:8" x14ac:dyDescent="0.25">
      <c r="G10" t="s">
        <v>16</v>
      </c>
      <c r="H10" s="1">
        <v>45</v>
      </c>
    </row>
    <row r="11" spans="2:8" x14ac:dyDescent="0.25">
      <c r="G11" t="s">
        <v>19</v>
      </c>
      <c r="H11" s="1">
        <v>135</v>
      </c>
    </row>
    <row r="12" spans="2:8" x14ac:dyDescent="0.25">
      <c r="G12" t="s">
        <v>20</v>
      </c>
      <c r="H12" s="1">
        <v>87</v>
      </c>
    </row>
    <row r="13" spans="2:8" x14ac:dyDescent="0.25">
      <c r="G13" t="s">
        <v>19</v>
      </c>
      <c r="H13" s="1">
        <v>435</v>
      </c>
    </row>
    <row r="14" spans="2:8" x14ac:dyDescent="0.25">
      <c r="G14" t="s">
        <v>30</v>
      </c>
      <c r="H14" s="1">
        <v>143</v>
      </c>
    </row>
    <row r="15" spans="2:8" x14ac:dyDescent="0.25">
      <c r="G15" t="s">
        <v>19</v>
      </c>
      <c r="H15" s="1">
        <v>429</v>
      </c>
    </row>
    <row r="16" spans="2:8" x14ac:dyDescent="0.25">
      <c r="G16" t="s">
        <v>22</v>
      </c>
      <c r="H16" s="1">
        <v>0</v>
      </c>
    </row>
    <row r="17" spans="7:8" x14ac:dyDescent="0.25">
      <c r="G17" t="s">
        <v>19</v>
      </c>
      <c r="H17" s="1">
        <v>0</v>
      </c>
    </row>
    <row r="18" spans="7:8" x14ac:dyDescent="0.25">
      <c r="G18" t="s">
        <v>23</v>
      </c>
      <c r="H18" s="1">
        <v>17</v>
      </c>
    </row>
    <row r="19" spans="7:8" x14ac:dyDescent="0.25">
      <c r="G19" t="s">
        <v>19</v>
      </c>
      <c r="H19" s="24">
        <v>85</v>
      </c>
    </row>
    <row r="21" spans="7:8" x14ac:dyDescent="0.25">
      <c r="H21" s="24">
        <f>H11+H13+H15+H17+H19</f>
        <v>1084</v>
      </c>
    </row>
  </sheetData>
  <mergeCells count="1"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 Sept</vt:lpstr>
      <vt:lpstr>NR Sept</vt:lpstr>
      <vt:lpstr>Okt</vt:lpstr>
      <vt:lpstr>Stock Daily BBM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Mulo Priyo Mulyono - CAA</dc:creator>
  <cp:lastModifiedBy>Mulo Priyo Mulyono - CAA</cp:lastModifiedBy>
  <dcterms:created xsi:type="dcterms:W3CDTF">2026-10-07T07:16:07Z</dcterms:created>
  <dcterms:modified xsi:type="dcterms:W3CDTF">2026-10-07T07:21:19Z</dcterms:modified>
</cp:coreProperties>
</file>